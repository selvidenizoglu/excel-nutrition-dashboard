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cturnedenizoglu/Desktop/"/>
    </mc:Choice>
  </mc:AlternateContent>
  <xr:revisionPtr revIDLastSave="0" documentId="8_{851F2A6F-B654-5A49-81BA-7DAA6CB967B3}" xr6:coauthVersionLast="47" xr6:coauthVersionMax="47" xr10:uidLastSave="{00000000-0000-0000-0000-000000000000}"/>
  <bookViews>
    <workbookView xWindow="0" yWindow="0" windowWidth="28800" windowHeight="18000" activeTab="3" xr2:uid="{11C4A3E6-E805-924C-99B5-9D1B014CDFF4}"/>
  </bookViews>
  <sheets>
    <sheet name="Food Log" sheetId="1" r:id="rId1"/>
    <sheet name="Exercise" sheetId="2" r:id="rId2"/>
    <sheet name="Food Database" sheetId="4" r:id="rId3"/>
    <sheet name="Dashboard" sheetId="3" r:id="rId4"/>
    <sheet name="DB PivotTable" sheetId="6" r:id="rId5"/>
  </sheets>
  <calcPr calcId="191028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3" l="1"/>
  <c r="C12" i="3"/>
  <c r="B12" i="3"/>
  <c r="B11" i="3"/>
  <c r="D40" i="1"/>
  <c r="D41" i="1"/>
  <c r="D11" i="3"/>
  <c r="E39" i="1"/>
  <c r="D39" i="1"/>
  <c r="E35" i="1"/>
  <c r="D35" i="1"/>
  <c r="E33" i="1"/>
  <c r="D33" i="1"/>
  <c r="D11" i="1"/>
  <c r="D12" i="1"/>
  <c r="D13" i="1"/>
  <c r="D14" i="1"/>
  <c r="D15" i="1"/>
  <c r="D16" i="1"/>
  <c r="D17" i="1"/>
  <c r="D18" i="1"/>
  <c r="D19" i="1"/>
  <c r="D22" i="1"/>
  <c r="D23" i="1"/>
  <c r="E23" i="1"/>
  <c r="D4" i="1"/>
  <c r="D6" i="1"/>
  <c r="D7" i="1"/>
  <c r="D8" i="1"/>
  <c r="D9" i="1"/>
  <c r="D10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3" i="1"/>
  <c r="D38" i="1"/>
  <c r="D37" i="1"/>
  <c r="D36" i="1"/>
  <c r="D31" i="1"/>
  <c r="D9" i="3"/>
  <c r="D29" i="1"/>
  <c r="D28" i="1"/>
  <c r="D27" i="1"/>
  <c r="D26" i="1"/>
  <c r="D3" i="1"/>
  <c r="D2" i="1"/>
  <c r="E2" i="1"/>
  <c r="E3" i="1"/>
  <c r="B3" i="3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3" i="1"/>
  <c r="E41" i="1"/>
  <c r="E40" i="1"/>
  <c r="C11" i="3"/>
  <c r="E38" i="1"/>
  <c r="E37" i="1"/>
  <c r="E36" i="1"/>
  <c r="C10" i="3"/>
  <c r="E31" i="1"/>
  <c r="E29" i="1"/>
  <c r="E28" i="1"/>
  <c r="E27" i="1"/>
  <c r="E26" i="1"/>
  <c r="E22" i="1"/>
  <c r="E19" i="1"/>
  <c r="D10" i="3"/>
  <c r="C2" i="3"/>
  <c r="B7" i="3"/>
  <c r="D5" i="3"/>
  <c r="D3" i="3"/>
  <c r="B10" i="3"/>
  <c r="C9" i="3"/>
  <c r="B9" i="3"/>
  <c r="C4" i="3"/>
  <c r="D4" i="3"/>
  <c r="D7" i="3"/>
  <c r="D6" i="3"/>
  <c r="C3" i="3"/>
  <c r="D8" i="3"/>
  <c r="C8" i="3"/>
  <c r="D2" i="3"/>
  <c r="B8" i="3"/>
  <c r="C7" i="3"/>
  <c r="C6" i="3"/>
  <c r="C5" i="3"/>
  <c r="B6" i="3"/>
  <c r="B5" i="3"/>
  <c r="B4" i="3"/>
  <c r="B2" i="3"/>
  <c r="G2" i="3"/>
  <c r="E2" i="3"/>
  <c r="F2" i="3" l="1"/>
</calcChain>
</file>

<file path=xl/sharedStrings.xml><?xml version="1.0" encoding="utf-8"?>
<sst xmlns="http://schemas.openxmlformats.org/spreadsheetml/2006/main" count="106" uniqueCount="46">
  <si>
    <t>Date</t>
  </si>
  <si>
    <t>Food</t>
  </si>
  <si>
    <t>Kcal</t>
  </si>
  <si>
    <t>Protein</t>
  </si>
  <si>
    <t>Starbucks Grande Iced Protein Latte</t>
  </si>
  <si>
    <t>Source</t>
  </si>
  <si>
    <t>Yürüyüş</t>
  </si>
  <si>
    <t>Yağsız Çoban Salata</t>
  </si>
  <si>
    <t>Subway Winterberry Cookie</t>
  </si>
  <si>
    <t>Büyük Salatalık</t>
  </si>
  <si>
    <t>Usta Dönerci Fit Bi Kase</t>
  </si>
  <si>
    <t>Kremalı Mantar Çabuk Çorba</t>
  </si>
  <si>
    <t>Total Cal</t>
  </si>
  <si>
    <t>Total Protein</t>
  </si>
  <si>
    <t>Deficit/Surplus</t>
  </si>
  <si>
    <t>BMR</t>
  </si>
  <si>
    <t>Tavuk Kanat</t>
  </si>
  <si>
    <t>Bahs Protein Bar</t>
  </si>
  <si>
    <t>Subway Single Fileto(15cm)</t>
  </si>
  <si>
    <t>Subway Double Fileto(15 cm)</t>
  </si>
  <si>
    <t>Büyük Domates</t>
  </si>
  <si>
    <t>Şekersiz Probis(tane)</t>
  </si>
  <si>
    <t>Amount</t>
  </si>
  <si>
    <t>N/A</t>
  </si>
  <si>
    <t>Row Labels</t>
  </si>
  <si>
    <t>Grand Total</t>
  </si>
  <si>
    <t>Sum of Deficit/Surplus</t>
  </si>
  <si>
    <t>(blank)</t>
  </si>
  <si>
    <t>Total Deficit</t>
  </si>
  <si>
    <t>Completion Percentage</t>
  </si>
  <si>
    <t>Daily Average Deficit</t>
  </si>
  <si>
    <t>Tavuklu Çoban Salata</t>
  </si>
  <si>
    <t>Yoğurtlu Mantı</t>
  </si>
  <si>
    <t>İçim Fit Kakaolu Süt</t>
  </si>
  <si>
    <t>Tavuklu Yoğurtlu Çoban Salata</t>
  </si>
  <si>
    <t>Sum of Total Cal</t>
  </si>
  <si>
    <t>Sum of Total Protein</t>
  </si>
  <si>
    <t>Monster Watermelon</t>
  </si>
  <si>
    <t>Yoğurtlu Tavuk+Brokoli</t>
  </si>
  <si>
    <t>Yoğurtlu Brokoli</t>
  </si>
  <si>
    <t>Arbys Beefn Cheddar</t>
  </si>
  <si>
    <t>Arbys Chicken Tenders</t>
  </si>
  <si>
    <t>Petek Tavuk Florantine</t>
  </si>
  <si>
    <t>Pınar 26g Süt</t>
  </si>
  <si>
    <t>Pınar 52g Süt</t>
  </si>
  <si>
    <t>Kabak/Bulgur Pilavı/Tavuk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</si>
</sst>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79BF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3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0.0"/>
    </dxf>
    <dxf>
      <numFmt numFmtId="1" formatCode="0"/>
    </dxf>
    <dxf>
      <numFmt numFmtId="19" formatCode="d/mm/yyyy"/>
    </dxf>
  </dxfs>
  <tableStyles count="0" defaultTableStyle="TableStyleMedium2" defaultPivotStyle="PivotStyleLight16"/>
  <colors>
    <mruColors>
      <color rgb="FFA79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cturne Denizoğlu" refreshedDate="46229.674621412036" createdVersion="8" refreshedVersion="8" minRefreshableVersion="3" recordCount="241" xr:uid="{81208700-61DE-8547-82FA-3DB9B551BCC8}">
  <cacheSource type="worksheet">
    <worksheetSource name="Table4"/>
  </cacheSource>
  <cacheFields count="7">
    <cacheField name="Date" numFmtId="14">
      <sharedItems containsNonDate="0" containsDate="1" containsString="0" containsBlank="1" minDate="2026-07-15T00:00:00" maxDate="2026-07-26T00:00:00" count="12"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m/>
      </sharedItems>
    </cacheField>
    <cacheField name="Total Cal" numFmtId="1">
      <sharedItems containsString="0" containsBlank="1" containsNumber="1" minValue="580" maxValue="1222"/>
    </cacheField>
    <cacheField name="Total Protein" numFmtId="164">
      <sharedItems containsString="0" containsBlank="1" containsNumber="1" minValue="52.6" maxValue="116.5"/>
    </cacheField>
    <cacheField name="Deficit/Surplus" numFmtId="1">
      <sharedItems containsString="0" containsBlank="1" containsNumber="1" minValue="-1340" maxValue="-458"/>
    </cacheField>
    <cacheField name="Total Deficit" numFmtId="1">
      <sharedItems containsString="0" containsBlank="1" containsNumber="1" minValue="-10222.6" maxValue="-10222.6"/>
    </cacheField>
    <cacheField name="Completion Percentage" numFmtId="0">
      <sharedItems containsString="0" containsBlank="1" containsNumber="1" minValue="6.6380519480519484E-2" maxValue="6.6380519480519484E-2"/>
    </cacheField>
    <cacheField name="Daily Average Deficit" numFmtId="0">
      <sharedItems containsString="0" containsBlank="1" containsNumber="1" minValue="-929.32727272727277" maxValue="-929.327272727272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  <n v="923"/>
    <n v="72.2"/>
    <n v="-1163"/>
    <n v="-10222.6"/>
    <n v="6.6380519480519484E-2"/>
    <n v="-929.32727272727277"/>
  </r>
  <r>
    <x v="1"/>
    <n v="990"/>
    <n v="79"/>
    <n v="-656"/>
    <m/>
    <m/>
    <m/>
  </r>
  <r>
    <x v="2"/>
    <n v="905"/>
    <n v="72.599999999999994"/>
    <n v="-965"/>
    <m/>
    <m/>
    <m/>
  </r>
  <r>
    <x v="3"/>
    <n v="702"/>
    <n v="52.6"/>
    <n v="-943"/>
    <m/>
    <m/>
    <m/>
  </r>
  <r>
    <x v="4"/>
    <n v="1005"/>
    <n v="87.5"/>
    <n v="-775"/>
    <m/>
    <m/>
    <m/>
  </r>
  <r>
    <x v="5"/>
    <n v="724.6"/>
    <n v="80"/>
    <n v="-982.4"/>
    <m/>
    <m/>
    <m/>
  </r>
  <r>
    <x v="6"/>
    <n v="915"/>
    <n v="116.5"/>
    <n v="-755"/>
    <m/>
    <m/>
    <m/>
  </r>
  <r>
    <x v="7"/>
    <n v="700"/>
    <n v="87.5"/>
    <n v="-1270"/>
    <m/>
    <m/>
    <m/>
  </r>
  <r>
    <x v="8"/>
    <n v="1222"/>
    <n v="96.3"/>
    <n v="-458"/>
    <m/>
    <m/>
    <m/>
  </r>
  <r>
    <x v="9"/>
    <n v="954.8"/>
    <n v="99.12"/>
    <n v="-915.2"/>
    <m/>
    <m/>
    <m/>
  </r>
  <r>
    <x v="10"/>
    <n v="580"/>
    <n v="61.92"/>
    <n v="-1340"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1CE08-3C43-824E-828B-54BF5222673B}" name="Dashboard Pivot Table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16" firstHeaderRow="0" firstDataRow="1" firstDataCol="1"/>
  <pivotFields count="7">
    <pivotField axis="axisRow" showAll="0">
      <items count="13">
        <item x="0"/>
        <item x="1"/>
        <item x="2"/>
        <item x="3"/>
        <item x="4"/>
        <item x="11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ficit/Surplus" fld="3" baseField="0" baseItem="0"/>
    <dataField name="Sum of Total Cal" fld="1" baseField="0" baseItem="0"/>
    <dataField name="Sum of Total Protein" fld="2" baseField="0" baseItem="0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E8C39-708D-854C-9C6E-6B3765F7F44E}" name="Table1" displayName="Table1" ref="A1:E321" totalsRowShown="0" dataDxfId="25">
  <autoFilter ref="A1:E321" xr:uid="{D06E8C39-708D-854C-9C6E-6B3765F7F44E}"/>
  <tableColumns count="5">
    <tableColumn id="1" xr3:uid="{CF2795A7-07A9-0746-97AD-1DDE95FA6873}" name="Food" dataDxfId="24"/>
    <tableColumn id="2" xr3:uid="{9EA506DB-B718-924C-A97F-DEF0ED13896C}" name="Amount" dataDxfId="23"/>
    <tableColumn id="3" xr3:uid="{068A96DF-B42A-0948-B42C-65F38B912272}" name="Date" dataDxfId="22"/>
    <tableColumn id="4" xr3:uid="{3C1A74EC-83E1-254C-BF5D-343DE29D607E}" name="Kcal" dataDxfId="21">
      <calculatedColumnFormula>IFERROR(_xlfn.XLOOKUP(A2,'Food Database'!A:A,'Food Database'!B:B)*B2,"")</calculatedColumnFormula>
    </tableColumn>
    <tableColumn id="5" xr3:uid="{B2023521-2B84-BA4A-B343-AB40B7E02E2A}" name="Protein" dataDxfId="20">
      <calculatedColumnFormula>IFERROR(_xlfn.XLOOKUP(A2,'Food Database'!A:A,'Food Database'!C:C)*B2,"")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527E9D-C382-EA44-B4BD-36C5BCAFA7C0}" name="Table5" displayName="Table5" ref="A1:C251" totalsRowShown="0">
  <autoFilter ref="A1:C251" xr:uid="{97527E9D-C382-EA44-B4BD-36C5BCAFA7C0}"/>
  <tableColumns count="3">
    <tableColumn id="1" xr3:uid="{99B7C1D3-C6A6-DD41-AD6F-D48F5AF44494}" name="Date" dataDxfId="19"/>
    <tableColumn id="2" xr3:uid="{ABBFCA35-4B26-274B-A6C6-0C2044776318}" name="Source" dataDxfId="18"/>
    <tableColumn id="3" xr3:uid="{5C1864B0-FE0D-714E-BD5F-FCA19D399D24}" name="Kcal" dataDxfId="1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38686-9DED-BE4A-9F8D-E8681BF0D720}" name="Table2" displayName="Table2" ref="A1:C199" totalsRowShown="0" headerRowDxfId="16">
  <autoFilter ref="A1:C199" xr:uid="{3B638686-9DED-BE4A-9F8D-E8681BF0D720}"/>
  <tableColumns count="3">
    <tableColumn id="1" xr3:uid="{9CBC2C85-BAF1-164F-9F35-9721220EF343}" name="Food" dataDxfId="15"/>
    <tableColumn id="2" xr3:uid="{F96CF10E-546A-804D-AACC-83E11E1CF120}" name="Kcal" dataDxfId="14"/>
    <tableColumn id="3" xr3:uid="{58ED3D89-F2DA-F64A-9089-03C0E17C7219}" name="Protein" dataDxfId="1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26F84C-8D5E-ED40-9C4F-64BDE3D1D820}" name="Table4" displayName="Table4" ref="A1:G242" totalsRowShown="0">
  <autoFilter ref="A1:G242" xr:uid="{3F26F84C-8D5E-ED40-9C4F-64BDE3D1D820}"/>
  <tableColumns count="7">
    <tableColumn id="1" xr3:uid="{140EB720-8D2F-6C43-BC7C-05B9476BF689}" name="Date" dataDxfId="32"/>
    <tableColumn id="2" xr3:uid="{BD02C828-7ABA-1741-B3F4-EF304BF09A6F}" name="Total Cal" dataDxfId="31">
      <calculatedColumnFormula>SUMIFS('Food Log'!D:D,'Food Log'!C:C,A2)</calculatedColumnFormula>
    </tableColumn>
    <tableColumn id="3" xr3:uid="{A7BA1802-5A2E-0C47-8755-075D572837B2}" name="Total Protein" dataDxfId="30">
      <calculatedColumnFormula>SUMIFS('Food Log'!E:E,'Food Log'!C:C,A2)</calculatedColumnFormula>
    </tableColumn>
    <tableColumn id="4" xr3:uid="{CD0C2BC7-E920-1A46-A83E-16EEBC676D74}" name="Deficit/Surplus" dataDxfId="29">
      <calculatedColumnFormula>SUMIFS('Food Log'!D:D,'Food Log'!C:C,A2)-($J$2+_xlfn.XLOOKUP(A2,Exercise!A:A,Exercise!C:C,0))</calculatedColumnFormula>
    </tableColumn>
    <tableColumn id="5" xr3:uid="{A736310F-7AB3-E244-8663-619085A03099}" name="Total Deficit" dataDxfId="28">
      <calculatedColumnFormula>SUM(D2:D1000)</calculatedColumnFormula>
    </tableColumn>
    <tableColumn id="6" xr3:uid="{C2D1B72F-6765-B14F-8C64-EBBE1615D010}" name="Completion Percentage" dataDxfId="27"/>
    <tableColumn id="7" xr3:uid="{C8EF92FE-959F-F241-8A46-CBA42893C9BF}" name="Daily Average Deficit" dataDxfId="2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0542-81C1-2648-9E4C-CEB22E3FDFAA}">
  <dimension ref="A1:E321"/>
  <sheetViews>
    <sheetView zoomScaleNormal="100" workbookViewId="0">
      <pane ySplit="1" topLeftCell="A2" activePane="bottomLeft" state="frozen"/>
      <selection pane="bottomLeft" activeCell="D17" sqref="D17"/>
    </sheetView>
  </sheetViews>
  <sheetFormatPr baseColWidth="10" defaultColWidth="10.83203125" defaultRowHeight="16" x14ac:dyDescent="0.2"/>
  <cols>
    <col min="1" max="1" width="30.5" style="4" bestFit="1" customWidth="1"/>
    <col min="2" max="2" width="10.83203125" style="14"/>
    <col min="3" max="3" width="10.1640625" style="5" bestFit="1" customWidth="1"/>
    <col min="4" max="4" width="8.1640625" style="6" customWidth="1"/>
    <col min="5" max="5" width="7.6640625" style="7" bestFit="1" customWidth="1"/>
  </cols>
  <sheetData>
    <row r="1" spans="1:5" s="12" customFormat="1" x14ac:dyDescent="0.2">
      <c r="A1" s="9" t="s">
        <v>1</v>
      </c>
      <c r="B1" s="13" t="s">
        <v>22</v>
      </c>
      <c r="C1" s="8" t="s">
        <v>0</v>
      </c>
      <c r="D1" s="10" t="s">
        <v>2</v>
      </c>
      <c r="E1" s="11" t="s">
        <v>3</v>
      </c>
    </row>
    <row r="2" spans="1:5" x14ac:dyDescent="0.2">
      <c r="A2" s="5" t="s">
        <v>18</v>
      </c>
      <c r="B2" s="14">
        <v>2</v>
      </c>
      <c r="C2" s="4">
        <v>46218</v>
      </c>
      <c r="D2" s="6">
        <f>IFERROR(_xlfn.XLOOKUP(A2,'Food Database'!A:A,'Food Database'!B:B)*B2,"")</f>
        <v>800</v>
      </c>
      <c r="E2" s="7">
        <f>IFERROR(_xlfn.XLOOKUP(A2,'Food Database'!A:A,'Food Database'!C:C)*B2,"")</f>
        <v>51.2</v>
      </c>
    </row>
    <row r="3" spans="1:5" x14ac:dyDescent="0.2">
      <c r="A3" s="5" t="s">
        <v>4</v>
      </c>
      <c r="B3" s="14">
        <v>1</v>
      </c>
      <c r="C3" s="4">
        <v>46218</v>
      </c>
      <c r="D3" s="6">
        <f>IFERROR(_xlfn.XLOOKUP(A3,'Food Database'!A:A,'Food Database'!B:B)*B3,"")</f>
        <v>123</v>
      </c>
      <c r="E3" s="7">
        <f>IFERROR(_xlfn.XLOOKUP(A3,'Food Database'!A:A,'Food Database'!C:C)*B3,"")</f>
        <v>21</v>
      </c>
    </row>
    <row r="4" spans="1:5" x14ac:dyDescent="0.2">
      <c r="A4" s="5" t="s">
        <v>16</v>
      </c>
      <c r="B4" s="14">
        <v>4</v>
      </c>
      <c r="C4" s="4">
        <v>46219</v>
      </c>
      <c r="D4" s="6">
        <f>IFERROR(_xlfn.XLOOKUP(A4,'Food Database'!A:A,'Food Database'!B:B)*B4,"")</f>
        <v>360</v>
      </c>
      <c r="E4" s="7">
        <f>IFERROR(_xlfn.XLOOKUP(A4,'Food Database'!A:A,'Food Database'!C:C)*B4,"")</f>
        <v>30</v>
      </c>
    </row>
    <row r="5" spans="1:5" x14ac:dyDescent="0.2">
      <c r="A5" s="5" t="s">
        <v>7</v>
      </c>
      <c r="B5" s="14" t="s">
        <v>23</v>
      </c>
      <c r="C5" s="4">
        <v>46219</v>
      </c>
      <c r="D5" s="6">
        <v>30</v>
      </c>
      <c r="E5" s="7">
        <v>1.5</v>
      </c>
    </row>
    <row r="6" spans="1:5" x14ac:dyDescent="0.2">
      <c r="A6" s="5" t="s">
        <v>8</v>
      </c>
      <c r="B6" s="14">
        <v>0.25</v>
      </c>
      <c r="C6" s="4">
        <v>46219</v>
      </c>
      <c r="D6" s="6">
        <f>IFERROR(_xlfn.XLOOKUP(A6,'Food Database'!A:A,'Food Database'!B:B)*B6,"")</f>
        <v>50</v>
      </c>
      <c r="E6" s="7">
        <f>IFERROR(_xlfn.XLOOKUP(A6,'Food Database'!A:A,'Food Database'!C:C)*B6,"")</f>
        <v>0.5</v>
      </c>
    </row>
    <row r="7" spans="1:5" x14ac:dyDescent="0.2">
      <c r="A7" s="5" t="s">
        <v>19</v>
      </c>
      <c r="B7" s="14">
        <v>1</v>
      </c>
      <c r="C7" s="4">
        <v>46219</v>
      </c>
      <c r="D7" s="6">
        <f>IFERROR(_xlfn.XLOOKUP(A7,'Food Database'!A:A,'Food Database'!B:B)*B7,"")</f>
        <v>550</v>
      </c>
      <c r="E7" s="7">
        <f>IFERROR(_xlfn.XLOOKUP(A7,'Food Database'!A:A,'Food Database'!C:C)*B7,"")</f>
        <v>47</v>
      </c>
    </row>
    <row r="8" spans="1:5" x14ac:dyDescent="0.2">
      <c r="A8" s="5" t="s">
        <v>9</v>
      </c>
      <c r="B8" s="14">
        <v>1</v>
      </c>
      <c r="C8" s="4">
        <v>46220</v>
      </c>
      <c r="D8" s="6">
        <f>IFERROR(_xlfn.XLOOKUP(A8,'Food Database'!A:A,'Food Database'!B:B)*B8,"")</f>
        <v>30</v>
      </c>
      <c r="E8" s="7">
        <f>IFERROR(_xlfn.XLOOKUP(A8,'Food Database'!A:A,'Food Database'!C:C)*B8,"")</f>
        <v>1</v>
      </c>
    </row>
    <row r="9" spans="1:5" x14ac:dyDescent="0.2">
      <c r="A9" s="5" t="s">
        <v>10</v>
      </c>
      <c r="B9" s="14">
        <v>1</v>
      </c>
      <c r="C9" s="4">
        <v>46220</v>
      </c>
      <c r="D9" s="6">
        <f>IFERROR(_xlfn.XLOOKUP(A9,'Food Database'!A:A,'Food Database'!B:B)*B9,"")</f>
        <v>630</v>
      </c>
      <c r="E9" s="7">
        <f>IFERROR(_xlfn.XLOOKUP(A9,'Food Database'!A:A,'Food Database'!C:C)*B9,"")</f>
        <v>46</v>
      </c>
    </row>
    <row r="10" spans="1:5" x14ac:dyDescent="0.2">
      <c r="A10" s="5" t="s">
        <v>4</v>
      </c>
      <c r="B10" s="14">
        <v>1</v>
      </c>
      <c r="C10" s="4">
        <v>46220</v>
      </c>
      <c r="D10" s="6">
        <f>IFERROR(_xlfn.XLOOKUP(A10,'Food Database'!A:A,'Food Database'!B:B)*B10,"")</f>
        <v>123</v>
      </c>
      <c r="E10" s="7">
        <f>IFERROR(_xlfn.XLOOKUP(A10,'Food Database'!A:A,'Food Database'!C:C)*B10,"")</f>
        <v>21</v>
      </c>
    </row>
    <row r="11" spans="1:5" x14ac:dyDescent="0.2">
      <c r="A11" s="5" t="s">
        <v>21</v>
      </c>
      <c r="B11" s="14">
        <v>2</v>
      </c>
      <c r="C11" s="4">
        <v>46220</v>
      </c>
      <c r="D11" s="6">
        <f>IFERROR(_xlfn.XLOOKUP(A11,'Food Database'!A:A,'Food Database'!B:B)*B11,"")</f>
        <v>122</v>
      </c>
      <c r="E11" s="7">
        <f>IFERROR(_xlfn.XLOOKUP(A11,'Food Database'!A:A,'Food Database'!C:C)*B11,"")</f>
        <v>4.5999999999999996</v>
      </c>
    </row>
    <row r="12" spans="1:5" x14ac:dyDescent="0.2">
      <c r="A12" s="5" t="s">
        <v>9</v>
      </c>
      <c r="B12" s="14">
        <v>1</v>
      </c>
      <c r="C12" s="4">
        <v>46221</v>
      </c>
      <c r="D12" s="6">
        <f>IFERROR(_xlfn.XLOOKUP(A12,'Food Database'!A:A,'Food Database'!B:B)*B12,"")</f>
        <v>30</v>
      </c>
      <c r="E12" s="7">
        <f>IFERROR(_xlfn.XLOOKUP(A12,'Food Database'!A:A,'Food Database'!C:C)*B12,"")</f>
        <v>1</v>
      </c>
    </row>
    <row r="13" spans="1:5" x14ac:dyDescent="0.2">
      <c r="A13" s="5" t="s">
        <v>21</v>
      </c>
      <c r="B13" s="14">
        <v>2</v>
      </c>
      <c r="C13" s="4">
        <v>46221</v>
      </c>
      <c r="D13" s="6">
        <f>IFERROR(_xlfn.XLOOKUP(A13,'Food Database'!A:A,'Food Database'!B:B)*B13,"")</f>
        <v>122</v>
      </c>
      <c r="E13" s="7">
        <f>IFERROR(_xlfn.XLOOKUP(A13,'Food Database'!A:A,'Food Database'!C:C)*B13,"")</f>
        <v>4.5999999999999996</v>
      </c>
    </row>
    <row r="14" spans="1:5" x14ac:dyDescent="0.2">
      <c r="A14" s="5" t="s">
        <v>19</v>
      </c>
      <c r="B14" s="14">
        <v>1</v>
      </c>
      <c r="C14" s="4">
        <v>46221</v>
      </c>
      <c r="D14" s="6">
        <f>IFERROR(_xlfn.XLOOKUP(A14,'Food Database'!A:A,'Food Database'!B:B)*B14,"")</f>
        <v>550</v>
      </c>
      <c r="E14" s="7">
        <f>IFERROR(_xlfn.XLOOKUP(A14,'Food Database'!A:A,'Food Database'!C:C)*B14,"")</f>
        <v>47</v>
      </c>
    </row>
    <row r="15" spans="1:5" x14ac:dyDescent="0.2">
      <c r="A15" s="5" t="s">
        <v>20</v>
      </c>
      <c r="B15" s="14">
        <v>1</v>
      </c>
      <c r="C15" s="4">
        <v>46222</v>
      </c>
      <c r="D15" s="6">
        <f>IFERROR(_xlfn.XLOOKUP(A15,'Food Database'!A:A,'Food Database'!B:B)*B15,"")</f>
        <v>30</v>
      </c>
      <c r="E15" s="7">
        <f>IFERROR(_xlfn.XLOOKUP(A15,'Food Database'!A:A,'Food Database'!C:C)*B15,"")</f>
        <v>1.5</v>
      </c>
    </row>
    <row r="16" spans="1:5" x14ac:dyDescent="0.2">
      <c r="A16" s="5" t="s">
        <v>17</v>
      </c>
      <c r="B16" s="14">
        <v>1</v>
      </c>
      <c r="C16" s="4">
        <v>46222</v>
      </c>
      <c r="D16" s="6">
        <f>IFERROR(_xlfn.XLOOKUP(A16,'Food Database'!A:A,'Food Database'!B:B)*B16,"")</f>
        <v>150</v>
      </c>
      <c r="E16" s="7">
        <f>IFERROR(_xlfn.XLOOKUP(A16,'Food Database'!A:A,'Food Database'!C:C)*B16,"")</f>
        <v>15</v>
      </c>
    </row>
    <row r="17" spans="1:5" x14ac:dyDescent="0.2">
      <c r="A17" s="5" t="s">
        <v>19</v>
      </c>
      <c r="B17" s="14">
        <v>1</v>
      </c>
      <c r="C17" s="4">
        <v>46222</v>
      </c>
      <c r="D17" s="6">
        <f>IFERROR(_xlfn.XLOOKUP(A17,'Food Database'!A:A,'Food Database'!B:B)*B17,"")</f>
        <v>550</v>
      </c>
      <c r="E17" s="7">
        <f>IFERROR(_xlfn.XLOOKUP(A17,'Food Database'!A:A,'Food Database'!C:C)*B17,"")</f>
        <v>47</v>
      </c>
    </row>
    <row r="18" spans="1:5" x14ac:dyDescent="0.2">
      <c r="A18" s="5" t="s">
        <v>11</v>
      </c>
      <c r="B18" s="14">
        <v>1</v>
      </c>
      <c r="C18" s="4">
        <v>46222</v>
      </c>
      <c r="D18" s="6">
        <f>IFERROR(_xlfn.XLOOKUP(A18,'Food Database'!A:A,'Food Database'!B:B)*B18,"")</f>
        <v>80</v>
      </c>
      <c r="E18" s="7">
        <f>IFERROR(_xlfn.XLOOKUP(A18,'Food Database'!A:A,'Food Database'!C:C)*B18,"")</f>
        <v>2</v>
      </c>
    </row>
    <row r="19" spans="1:5" x14ac:dyDescent="0.2">
      <c r="A19" s="5" t="s">
        <v>17</v>
      </c>
      <c r="B19" s="14">
        <v>0.5</v>
      </c>
      <c r="C19" s="4">
        <v>46222</v>
      </c>
      <c r="D19" s="6">
        <f>IFERROR(_xlfn.XLOOKUP(A19,'Food Database'!A:A,'Food Database'!B:B)*B19,"")</f>
        <v>75</v>
      </c>
      <c r="E19" s="7">
        <f>IFERROR(_xlfn.XLOOKUP(A19,'Food Database'!A:A,'Food Database'!C:C)*B19,"")</f>
        <v>7.5</v>
      </c>
    </row>
    <row r="20" spans="1:5" x14ac:dyDescent="0.2">
      <c r="A20" s="4" t="s">
        <v>31</v>
      </c>
      <c r="B20" s="14" t="s">
        <v>23</v>
      </c>
      <c r="C20" s="4">
        <v>46222</v>
      </c>
      <c r="D20" s="6">
        <v>120</v>
      </c>
      <c r="E20" s="7">
        <v>14.5</v>
      </c>
    </row>
    <row r="21" spans="1:5" x14ac:dyDescent="0.2">
      <c r="A21" s="4" t="s">
        <v>32</v>
      </c>
      <c r="B21" s="14" t="s">
        <v>23</v>
      </c>
      <c r="C21" s="4">
        <v>46223</v>
      </c>
      <c r="D21" s="6">
        <v>210</v>
      </c>
      <c r="E21" s="7">
        <v>11</v>
      </c>
    </row>
    <row r="22" spans="1:5" x14ac:dyDescent="0.2">
      <c r="A22" s="4" t="s">
        <v>17</v>
      </c>
      <c r="B22" s="14">
        <v>1</v>
      </c>
      <c r="C22" s="4">
        <v>46223</v>
      </c>
      <c r="D22" s="6">
        <f>IFERROR(_xlfn.XLOOKUP(A22,'Food Database'!A:A,'Food Database'!B:B)*B22,"")</f>
        <v>150</v>
      </c>
      <c r="E22" s="7">
        <f>IFERROR(_xlfn.XLOOKUP(A22,'Food Database'!A:A,'Food Database'!C:C)*B22,"")</f>
        <v>15</v>
      </c>
    </row>
    <row r="23" spans="1:5" x14ac:dyDescent="0.2">
      <c r="A23" s="4" t="s">
        <v>33</v>
      </c>
      <c r="B23" s="14">
        <v>0.45</v>
      </c>
      <c r="C23" s="4">
        <v>46223</v>
      </c>
      <c r="D23" s="6">
        <f>IFERROR(_xlfn.XLOOKUP(A23,'Food Database'!A:A,'Food Database'!B:B)*B23,"")</f>
        <v>84.600000000000009</v>
      </c>
      <c r="E23" s="7">
        <f>IFERROR(_xlfn.XLOOKUP(A23,'Food Database'!A:A,'Food Database'!C:C)*B23,"")</f>
        <v>11.700000000000001</v>
      </c>
    </row>
    <row r="24" spans="1:5" x14ac:dyDescent="0.2">
      <c r="A24" s="4" t="s">
        <v>34</v>
      </c>
      <c r="B24" s="14" t="s">
        <v>23</v>
      </c>
      <c r="C24" s="4">
        <v>46223</v>
      </c>
      <c r="D24" s="6">
        <v>280</v>
      </c>
      <c r="E24" s="7">
        <v>42.3</v>
      </c>
    </row>
    <row r="25" spans="1:5" x14ac:dyDescent="0.2">
      <c r="A25" s="4" t="s">
        <v>34</v>
      </c>
      <c r="B25" s="14" t="s">
        <v>23</v>
      </c>
      <c r="C25" s="4">
        <v>46224</v>
      </c>
      <c r="D25" s="6">
        <v>90</v>
      </c>
      <c r="E25" s="7">
        <v>14</v>
      </c>
    </row>
    <row r="26" spans="1:5" x14ac:dyDescent="0.2">
      <c r="A26" s="4" t="s">
        <v>17</v>
      </c>
      <c r="B26" s="14">
        <v>0.5</v>
      </c>
      <c r="C26" s="4">
        <v>46224</v>
      </c>
      <c r="D26" s="6">
        <f>IFERROR(_xlfn.XLOOKUP(A26,'Food Database'!A:A,'Food Database'!B:B)*B26,"")</f>
        <v>75</v>
      </c>
      <c r="E26" s="7">
        <f>IFERROR(_xlfn.XLOOKUP(A26,'Food Database'!A:A,'Food Database'!C:C)*B26,"")</f>
        <v>7.5</v>
      </c>
    </row>
    <row r="27" spans="1:5" x14ac:dyDescent="0.2">
      <c r="A27" s="4" t="s">
        <v>17</v>
      </c>
      <c r="B27" s="14">
        <v>1</v>
      </c>
      <c r="C27" s="4">
        <v>46224</v>
      </c>
      <c r="D27" s="6">
        <f>IFERROR(_xlfn.XLOOKUP(A27,'Food Database'!A:A,'Food Database'!B:B)*B27,"")</f>
        <v>150</v>
      </c>
      <c r="E27" s="7">
        <f>IFERROR(_xlfn.XLOOKUP(A27,'Food Database'!A:A,'Food Database'!C:C)*B27,"")</f>
        <v>15</v>
      </c>
    </row>
    <row r="28" spans="1:5" x14ac:dyDescent="0.2">
      <c r="A28" s="4" t="s">
        <v>17</v>
      </c>
      <c r="B28" s="14">
        <v>1</v>
      </c>
      <c r="C28" s="4">
        <v>46224</v>
      </c>
      <c r="D28" s="6">
        <f>IFERROR(_xlfn.XLOOKUP(A28,'Food Database'!A:A,'Food Database'!B:B)*B28,"")</f>
        <v>150</v>
      </c>
      <c r="E28" s="7">
        <f>IFERROR(_xlfn.XLOOKUP(A28,'Food Database'!A:A,'Food Database'!C:C)*B28,"")</f>
        <v>15</v>
      </c>
    </row>
    <row r="29" spans="1:5" x14ac:dyDescent="0.2">
      <c r="A29" s="4" t="s">
        <v>37</v>
      </c>
      <c r="B29" s="14">
        <v>1</v>
      </c>
      <c r="C29" s="4">
        <v>46224</v>
      </c>
      <c r="D29" s="6">
        <f>IFERROR(_xlfn.XLOOKUP(A29,'Food Database'!A:A,'Food Database'!B:B)*B29,"")</f>
        <v>50</v>
      </c>
      <c r="E29" s="7">
        <f>IFERROR(_xlfn.XLOOKUP(A29,'Food Database'!A:A,'Food Database'!C:C)*B29,"")</f>
        <v>0</v>
      </c>
    </row>
    <row r="30" spans="1:5" x14ac:dyDescent="0.2">
      <c r="A30" s="4" t="s">
        <v>38</v>
      </c>
      <c r="B30" s="14" t="s">
        <v>23</v>
      </c>
      <c r="C30" s="4">
        <v>46224</v>
      </c>
      <c r="D30" s="6">
        <v>400</v>
      </c>
      <c r="E30" s="7">
        <v>65</v>
      </c>
    </row>
    <row r="31" spans="1:5" x14ac:dyDescent="0.2">
      <c r="A31" s="4" t="s">
        <v>17</v>
      </c>
      <c r="B31" s="14">
        <v>1</v>
      </c>
      <c r="C31" s="4">
        <v>46225</v>
      </c>
      <c r="D31" s="6">
        <f>IFERROR(_xlfn.XLOOKUP(A31,'Food Database'!A:A,'Food Database'!B:B)*B31,"")</f>
        <v>150</v>
      </c>
      <c r="E31" s="7">
        <f>IFERROR(_xlfn.XLOOKUP(A31,'Food Database'!A:A,'Food Database'!C:C)*B31,"")</f>
        <v>15</v>
      </c>
    </row>
    <row r="32" spans="1:5" x14ac:dyDescent="0.2">
      <c r="A32" s="4" t="s">
        <v>38</v>
      </c>
      <c r="B32" s="14" t="s">
        <v>23</v>
      </c>
      <c r="C32" s="4">
        <v>46225</v>
      </c>
      <c r="D32" s="6">
        <v>400</v>
      </c>
      <c r="E32" s="7">
        <v>65</v>
      </c>
    </row>
    <row r="33" spans="1:5" x14ac:dyDescent="0.2">
      <c r="A33" s="4" t="s">
        <v>37</v>
      </c>
      <c r="B33" s="14">
        <v>1</v>
      </c>
      <c r="C33" s="4">
        <v>46225</v>
      </c>
      <c r="D33" s="6">
        <f>IFERROR(_xlfn.XLOOKUP(A33,'Food Database'!A:A,'Food Database'!B:B)*B33,"")</f>
        <v>50</v>
      </c>
      <c r="E33" s="7">
        <f>IFERROR(_xlfn.XLOOKUP(A33,'Food Database'!A:A,'Food Database'!C:C)*B33,"")</f>
        <v>0</v>
      </c>
    </row>
    <row r="34" spans="1:5" x14ac:dyDescent="0.2">
      <c r="A34" s="4" t="s">
        <v>39</v>
      </c>
      <c r="B34" s="14" t="s">
        <v>23</v>
      </c>
      <c r="C34" s="4">
        <v>46225</v>
      </c>
      <c r="D34" s="6">
        <v>100</v>
      </c>
      <c r="E34" s="7">
        <v>7.5</v>
      </c>
    </row>
    <row r="35" spans="1:5" x14ac:dyDescent="0.2">
      <c r="A35" s="4" t="s">
        <v>17</v>
      </c>
      <c r="B35" s="14">
        <v>1</v>
      </c>
      <c r="C35" s="4">
        <v>46226</v>
      </c>
      <c r="D35" s="6">
        <f>IFERROR(_xlfn.XLOOKUP(A35,'Food Database'!A:A,'Food Database'!B:B)*B35,"")</f>
        <v>150</v>
      </c>
      <c r="E35" s="7">
        <f>IFERROR(_xlfn.XLOOKUP(A35,'Food Database'!A:A,'Food Database'!C:C)*B35,"")</f>
        <v>15</v>
      </c>
    </row>
    <row r="36" spans="1:5" x14ac:dyDescent="0.2">
      <c r="A36" s="4" t="s">
        <v>17</v>
      </c>
      <c r="B36" s="14">
        <v>1</v>
      </c>
      <c r="C36" s="4">
        <v>46226</v>
      </c>
      <c r="D36" s="6">
        <f>IFERROR(_xlfn.XLOOKUP(A36,'Food Database'!A:A,'Food Database'!B:B)*B36,"")</f>
        <v>150</v>
      </c>
      <c r="E36" s="7">
        <f>IFERROR(_xlfn.XLOOKUP(A36,'Food Database'!A:A,'Food Database'!C:C)*B36,"")</f>
        <v>15</v>
      </c>
    </row>
    <row r="37" spans="1:5" x14ac:dyDescent="0.2">
      <c r="A37" s="4" t="s">
        <v>40</v>
      </c>
      <c r="B37" s="14">
        <v>1</v>
      </c>
      <c r="C37" s="4">
        <v>46226</v>
      </c>
      <c r="D37" s="6">
        <f>IFERROR(_xlfn.XLOOKUP(A37,'Food Database'!A:A,'Food Database'!B:B)*B37,"")</f>
        <v>520</v>
      </c>
      <c r="E37" s="7">
        <f>IFERROR(_xlfn.XLOOKUP(A37,'Food Database'!A:A,'Food Database'!C:C)*B37,"")</f>
        <v>32</v>
      </c>
    </row>
    <row r="38" spans="1:5" x14ac:dyDescent="0.2">
      <c r="A38" s="4" t="s">
        <v>44</v>
      </c>
      <c r="B38" s="14">
        <v>0.4</v>
      </c>
      <c r="C38" s="4">
        <v>46226</v>
      </c>
      <c r="D38" s="6">
        <f>IFERROR(_xlfn.XLOOKUP(A38,'Food Database'!A:A,'Food Database'!B:B)*B38,"")</f>
        <v>132</v>
      </c>
      <c r="E38" s="7">
        <f>IFERROR(_xlfn.XLOOKUP(A38,'Food Database'!A:A,'Food Database'!C:C)*B38,"")</f>
        <v>20.8</v>
      </c>
    </row>
    <row r="39" spans="1:5" x14ac:dyDescent="0.2">
      <c r="A39" s="4" t="s">
        <v>41</v>
      </c>
      <c r="B39" s="14">
        <v>5</v>
      </c>
      <c r="C39" s="4">
        <v>46226</v>
      </c>
      <c r="D39" s="6">
        <f>IFERROR(_xlfn.XLOOKUP(A39,'Food Database'!A:A,'Food Database'!B:B)*B39,"")</f>
        <v>270</v>
      </c>
      <c r="E39" s="7">
        <f>IFERROR(_xlfn.XLOOKUP(A39,'Food Database'!A:A,'Food Database'!C:C)*B39,"")</f>
        <v>13.5</v>
      </c>
    </row>
    <row r="40" spans="1:5" x14ac:dyDescent="0.2">
      <c r="A40" s="4" t="s">
        <v>17</v>
      </c>
      <c r="B40" s="14">
        <v>1</v>
      </c>
      <c r="C40" s="4">
        <v>46227</v>
      </c>
      <c r="D40" s="6">
        <f>IFERROR(_xlfn.XLOOKUP(A40,'Food Database'!A:A,'Food Database'!B:B)*B40,"")</f>
        <v>150</v>
      </c>
      <c r="E40" s="7">
        <f>IFERROR(_xlfn.XLOOKUP(A40,'Food Database'!A:A,'Food Database'!C:C)*B40,"")</f>
        <v>15</v>
      </c>
    </row>
    <row r="41" spans="1:5" x14ac:dyDescent="0.2">
      <c r="A41" s="4" t="s">
        <v>44</v>
      </c>
      <c r="B41" s="14">
        <v>0.56000000000000005</v>
      </c>
      <c r="C41" s="4">
        <v>46227</v>
      </c>
      <c r="D41" s="6">
        <f>IFERROR(_xlfn.XLOOKUP(A41,'Food Database'!A:A,'Food Database'!B:B)*B41,"")</f>
        <v>184.8</v>
      </c>
      <c r="E41" s="7">
        <f>IFERROR(_xlfn.XLOOKUP(A41,'Food Database'!A:A,'Food Database'!C:C)*B41,"")</f>
        <v>29.120000000000005</v>
      </c>
    </row>
    <row r="42" spans="1:5" x14ac:dyDescent="0.2">
      <c r="A42" s="4" t="s">
        <v>42</v>
      </c>
      <c r="B42" s="14" t="s">
        <v>23</v>
      </c>
      <c r="C42" s="4">
        <v>46227</v>
      </c>
      <c r="D42" s="6">
        <v>620</v>
      </c>
      <c r="E42" s="7">
        <v>55</v>
      </c>
    </row>
    <row r="43" spans="1:5" x14ac:dyDescent="0.2">
      <c r="A43" s="4" t="s">
        <v>43</v>
      </c>
      <c r="B43" s="14">
        <v>0.92</v>
      </c>
      <c r="C43" s="4">
        <v>46228</v>
      </c>
      <c r="D43" s="6">
        <f>IFERROR(_xlfn.XLOOKUP(A43,'Food Database'!A:A,'Food Database'!B:B)*B43,"")</f>
        <v>230</v>
      </c>
      <c r="E43" s="7">
        <f>IFERROR(_xlfn.XLOOKUP(A43,'Food Database'!A:A,'Food Database'!C:C)*B43,"")</f>
        <v>23.92</v>
      </c>
    </row>
    <row r="44" spans="1:5" x14ac:dyDescent="0.2">
      <c r="A44" s="4" t="s">
        <v>45</v>
      </c>
      <c r="B44" s="14" t="s">
        <v>23</v>
      </c>
      <c r="C44" s="4">
        <v>46228</v>
      </c>
      <c r="D44" s="6">
        <v>350</v>
      </c>
      <c r="E44" s="7">
        <v>38</v>
      </c>
    </row>
    <row r="45" spans="1:5" x14ac:dyDescent="0.2">
      <c r="C45" s="4"/>
      <c r="D45" s="6" t="str">
        <f>IFERROR(_xlfn.XLOOKUP(A45,'Food Database'!A:A,'Food Database'!B:B)*B45,"")</f>
        <v/>
      </c>
      <c r="E45" s="7">
        <f>IFERROR(_xlfn.XLOOKUP(A45,'Food Database'!A:A,'Food Database'!C:C)*B45,"")</f>
        <v>0</v>
      </c>
    </row>
    <row r="46" spans="1:5" x14ac:dyDescent="0.2">
      <c r="C46" s="4"/>
      <c r="D46" s="6" t="str">
        <f>IFERROR(_xlfn.XLOOKUP(A46,'Food Database'!A:A,'Food Database'!B:B)*B46,"")</f>
        <v/>
      </c>
      <c r="E46" s="7">
        <f>IFERROR(_xlfn.XLOOKUP(A46,'Food Database'!A:A,'Food Database'!C:C)*B46,"")</f>
        <v>0</v>
      </c>
    </row>
    <row r="47" spans="1:5" x14ac:dyDescent="0.2">
      <c r="C47" s="4"/>
      <c r="D47" s="6" t="str">
        <f>IFERROR(_xlfn.XLOOKUP(A47,'Food Database'!A:A,'Food Database'!B:B)*B47,"")</f>
        <v/>
      </c>
      <c r="E47" s="7">
        <f>IFERROR(_xlfn.XLOOKUP(A47,'Food Database'!A:A,'Food Database'!C:C)*B47,"")</f>
        <v>0</v>
      </c>
    </row>
    <row r="48" spans="1:5" x14ac:dyDescent="0.2">
      <c r="C48" s="4"/>
      <c r="D48" s="6" t="str">
        <f>IFERROR(_xlfn.XLOOKUP(A48,'Food Database'!A:A,'Food Database'!B:B)*B48,"")</f>
        <v/>
      </c>
      <c r="E48" s="7">
        <f>IFERROR(_xlfn.XLOOKUP(A48,'Food Database'!A:A,'Food Database'!C:C)*B48,"")</f>
        <v>0</v>
      </c>
    </row>
    <row r="49" spans="3:5" x14ac:dyDescent="0.2">
      <c r="C49" s="4"/>
      <c r="D49" s="6" t="str">
        <f>IFERROR(_xlfn.XLOOKUP(A49,'Food Database'!A:A,'Food Database'!B:B)*B49,"")</f>
        <v/>
      </c>
      <c r="E49" s="7">
        <f>IFERROR(_xlfn.XLOOKUP(A49,'Food Database'!A:A,'Food Database'!C:C)*B49,"")</f>
        <v>0</v>
      </c>
    </row>
    <row r="50" spans="3:5" x14ac:dyDescent="0.2">
      <c r="C50" s="4"/>
      <c r="D50" s="6" t="str">
        <f>IFERROR(_xlfn.XLOOKUP(A50,'Food Database'!A:A,'Food Database'!B:B)*B50,"")</f>
        <v/>
      </c>
      <c r="E50" s="7">
        <f>IFERROR(_xlfn.XLOOKUP(A50,'Food Database'!A:A,'Food Database'!C:C)*B50,"")</f>
        <v>0</v>
      </c>
    </row>
    <row r="51" spans="3:5" x14ac:dyDescent="0.2">
      <c r="C51" s="4"/>
      <c r="D51" s="6" t="str">
        <f>IFERROR(_xlfn.XLOOKUP(A51,'Food Database'!A:A,'Food Database'!B:B)*B51,"")</f>
        <v/>
      </c>
      <c r="E51" s="7">
        <f>IFERROR(_xlfn.XLOOKUP(A51,'Food Database'!A:A,'Food Database'!C:C)*B51,"")</f>
        <v>0</v>
      </c>
    </row>
    <row r="52" spans="3:5" x14ac:dyDescent="0.2">
      <c r="C52" s="4"/>
      <c r="D52" s="6" t="str">
        <f>IFERROR(_xlfn.XLOOKUP(A52,'Food Database'!A:A,'Food Database'!B:B)*B52,"")</f>
        <v/>
      </c>
      <c r="E52" s="7">
        <f>IFERROR(_xlfn.XLOOKUP(A52,'Food Database'!A:A,'Food Database'!C:C)*B52,"")</f>
        <v>0</v>
      </c>
    </row>
    <row r="53" spans="3:5" x14ac:dyDescent="0.2">
      <c r="C53" s="4"/>
      <c r="D53" s="6" t="str">
        <f>IFERROR(_xlfn.XLOOKUP(A53,'Food Database'!A:A,'Food Database'!B:B)*B53,"")</f>
        <v/>
      </c>
      <c r="E53" s="7">
        <f>IFERROR(_xlfn.XLOOKUP(A53,'Food Database'!A:A,'Food Database'!C:C)*B53,"")</f>
        <v>0</v>
      </c>
    </row>
    <row r="54" spans="3:5" x14ac:dyDescent="0.2">
      <c r="C54" s="4"/>
      <c r="D54" s="6" t="str">
        <f>IFERROR(_xlfn.XLOOKUP(A54,'Food Database'!A:A,'Food Database'!B:B)*B54,"")</f>
        <v/>
      </c>
      <c r="E54" s="7">
        <f>IFERROR(_xlfn.XLOOKUP(A54,'Food Database'!A:A,'Food Database'!C:C)*B54,"")</f>
        <v>0</v>
      </c>
    </row>
    <row r="55" spans="3:5" x14ac:dyDescent="0.2">
      <c r="C55" s="4"/>
      <c r="D55" s="6" t="str">
        <f>IFERROR(_xlfn.XLOOKUP(A55,'Food Database'!A:A,'Food Database'!B:B)*B55,"")</f>
        <v/>
      </c>
      <c r="E55" s="7">
        <f>IFERROR(_xlfn.XLOOKUP(A55,'Food Database'!A:A,'Food Database'!C:C)*B55,"")</f>
        <v>0</v>
      </c>
    </row>
    <row r="56" spans="3:5" x14ac:dyDescent="0.2">
      <c r="C56" s="4"/>
      <c r="D56" s="6" t="str">
        <f>IFERROR(_xlfn.XLOOKUP(A56,'Food Database'!A:A,'Food Database'!B:B)*B56,"")</f>
        <v/>
      </c>
      <c r="E56" s="7">
        <f>IFERROR(_xlfn.XLOOKUP(A56,'Food Database'!A:A,'Food Database'!C:C)*B56,"")</f>
        <v>0</v>
      </c>
    </row>
    <row r="57" spans="3:5" x14ac:dyDescent="0.2">
      <c r="C57" s="4"/>
      <c r="D57" s="6" t="str">
        <f>IFERROR(_xlfn.XLOOKUP(A57,'Food Database'!A:A,'Food Database'!B:B)*B57,"")</f>
        <v/>
      </c>
      <c r="E57" s="7">
        <f>IFERROR(_xlfn.XLOOKUP(A57,'Food Database'!A:A,'Food Database'!C:C)*B57,"")</f>
        <v>0</v>
      </c>
    </row>
    <row r="58" spans="3:5" x14ac:dyDescent="0.2">
      <c r="C58" s="4"/>
      <c r="D58" s="6" t="str">
        <f>IFERROR(_xlfn.XLOOKUP(A58,'Food Database'!A:A,'Food Database'!B:B)*B58,"")</f>
        <v/>
      </c>
      <c r="E58" s="7">
        <f>IFERROR(_xlfn.XLOOKUP(A58,'Food Database'!A:A,'Food Database'!C:C)*B58,"")</f>
        <v>0</v>
      </c>
    </row>
    <row r="59" spans="3:5" x14ac:dyDescent="0.2">
      <c r="C59" s="4"/>
      <c r="D59" s="6" t="str">
        <f>IFERROR(_xlfn.XLOOKUP(A59,'Food Database'!A:A,'Food Database'!B:B)*B59,"")</f>
        <v/>
      </c>
      <c r="E59" s="7">
        <f>IFERROR(_xlfn.XLOOKUP(A59,'Food Database'!A:A,'Food Database'!C:C)*B59,"")</f>
        <v>0</v>
      </c>
    </row>
    <row r="60" spans="3:5" x14ac:dyDescent="0.2">
      <c r="C60" s="4"/>
      <c r="D60" s="6" t="str">
        <f>IFERROR(_xlfn.XLOOKUP(A60,'Food Database'!A:A,'Food Database'!B:B)*B60,"")</f>
        <v/>
      </c>
      <c r="E60" s="7">
        <f>IFERROR(_xlfn.XLOOKUP(A60,'Food Database'!A:A,'Food Database'!C:C)*B60,"")</f>
        <v>0</v>
      </c>
    </row>
    <row r="61" spans="3:5" x14ac:dyDescent="0.2">
      <c r="C61" s="4"/>
      <c r="D61" s="6" t="str">
        <f>IFERROR(_xlfn.XLOOKUP(A61,'Food Database'!A:A,'Food Database'!B:B)*B61,"")</f>
        <v/>
      </c>
      <c r="E61" s="7">
        <f>IFERROR(_xlfn.XLOOKUP(A61,'Food Database'!A:A,'Food Database'!C:C)*B61,"")</f>
        <v>0</v>
      </c>
    </row>
    <row r="62" spans="3:5" x14ac:dyDescent="0.2">
      <c r="C62" s="4"/>
      <c r="D62" s="6" t="str">
        <f>IFERROR(_xlfn.XLOOKUP(A62,'Food Database'!A:A,'Food Database'!B:B)*B62,"")</f>
        <v/>
      </c>
      <c r="E62" s="7">
        <f>IFERROR(_xlfn.XLOOKUP(A62,'Food Database'!A:A,'Food Database'!C:C)*B62,"")</f>
        <v>0</v>
      </c>
    </row>
    <row r="63" spans="3:5" x14ac:dyDescent="0.2">
      <c r="C63" s="4"/>
      <c r="D63" s="6" t="str">
        <f>IFERROR(_xlfn.XLOOKUP(A63,'Food Database'!A:A,'Food Database'!B:B)*B63,"")</f>
        <v/>
      </c>
      <c r="E63" s="7">
        <f>IFERROR(_xlfn.XLOOKUP(A63,'Food Database'!A:A,'Food Database'!C:C)*B63,"")</f>
        <v>0</v>
      </c>
    </row>
    <row r="64" spans="3:5" x14ac:dyDescent="0.2">
      <c r="C64" s="4"/>
      <c r="D64" s="6" t="str">
        <f>IFERROR(_xlfn.XLOOKUP(A64,'Food Database'!A:A,'Food Database'!B:B)*B64,"")</f>
        <v/>
      </c>
      <c r="E64" s="7">
        <f>IFERROR(_xlfn.XLOOKUP(A64,'Food Database'!A:A,'Food Database'!C:C)*B64,"")</f>
        <v>0</v>
      </c>
    </row>
    <row r="65" spans="3:5" x14ac:dyDescent="0.2">
      <c r="C65" s="4"/>
      <c r="D65" s="6" t="str">
        <f>IFERROR(_xlfn.XLOOKUP(A65,'Food Database'!A:A,'Food Database'!B:B)*B65,"")</f>
        <v/>
      </c>
      <c r="E65" s="7">
        <f>IFERROR(_xlfn.XLOOKUP(A65,'Food Database'!A:A,'Food Database'!C:C)*B65,"")</f>
        <v>0</v>
      </c>
    </row>
    <row r="66" spans="3:5" x14ac:dyDescent="0.2">
      <c r="C66" s="4"/>
      <c r="D66" s="6" t="str">
        <f>IFERROR(_xlfn.XLOOKUP(A66,'Food Database'!A:A,'Food Database'!B:B)*B66,"")</f>
        <v/>
      </c>
      <c r="E66" s="7">
        <f>IFERROR(_xlfn.XLOOKUP(A66,'Food Database'!A:A,'Food Database'!C:C)*B66,"")</f>
        <v>0</v>
      </c>
    </row>
    <row r="67" spans="3:5" x14ac:dyDescent="0.2">
      <c r="C67" s="4"/>
      <c r="D67" s="6" t="str">
        <f>IFERROR(_xlfn.XLOOKUP(A67,'Food Database'!A:A,'Food Database'!B:B)*B67,"")</f>
        <v/>
      </c>
      <c r="E67" s="7">
        <f>IFERROR(_xlfn.XLOOKUP(A67,'Food Database'!A:A,'Food Database'!C:C)*B67,"")</f>
        <v>0</v>
      </c>
    </row>
    <row r="68" spans="3:5" x14ac:dyDescent="0.2">
      <c r="C68" s="4"/>
      <c r="D68" s="6" t="str">
        <f>IFERROR(_xlfn.XLOOKUP(A68,'Food Database'!A:A,'Food Database'!B:B)*B68,"")</f>
        <v/>
      </c>
      <c r="E68" s="7">
        <f>IFERROR(_xlfn.XLOOKUP(A68,'Food Database'!A:A,'Food Database'!C:C)*B68,"")</f>
        <v>0</v>
      </c>
    </row>
    <row r="69" spans="3:5" x14ac:dyDescent="0.2">
      <c r="C69" s="4"/>
      <c r="D69" s="6" t="str">
        <f>IFERROR(_xlfn.XLOOKUP(A69,'Food Database'!A:A,'Food Database'!B:B)*B69,"")</f>
        <v/>
      </c>
      <c r="E69" s="7">
        <f>IFERROR(_xlfn.XLOOKUP(A69,'Food Database'!A:A,'Food Database'!C:C)*B69,"")</f>
        <v>0</v>
      </c>
    </row>
    <row r="70" spans="3:5" x14ac:dyDescent="0.2">
      <c r="C70" s="4"/>
      <c r="D70" s="6" t="str">
        <f>IFERROR(_xlfn.XLOOKUP(A70,'Food Database'!A:A,'Food Database'!B:B)*B70,"")</f>
        <v/>
      </c>
      <c r="E70" s="7">
        <f>IFERROR(_xlfn.XLOOKUP(A70,'Food Database'!A:A,'Food Database'!C:C)*B70,"")</f>
        <v>0</v>
      </c>
    </row>
    <row r="71" spans="3:5" x14ac:dyDescent="0.2">
      <c r="C71" s="4"/>
      <c r="D71" s="6" t="str">
        <f>IFERROR(_xlfn.XLOOKUP(A71,'Food Database'!A:A,'Food Database'!B:B)*B71,"")</f>
        <v/>
      </c>
      <c r="E71" s="7">
        <f>IFERROR(_xlfn.XLOOKUP(A71,'Food Database'!A:A,'Food Database'!C:C)*B71,"")</f>
        <v>0</v>
      </c>
    </row>
    <row r="72" spans="3:5" x14ac:dyDescent="0.2">
      <c r="C72" s="4"/>
      <c r="D72" s="6" t="str">
        <f>IFERROR(_xlfn.XLOOKUP(A72,'Food Database'!A:A,'Food Database'!B:B)*B72,"")</f>
        <v/>
      </c>
      <c r="E72" s="7">
        <f>IFERROR(_xlfn.XLOOKUP(A72,'Food Database'!A:A,'Food Database'!C:C)*B72,"")</f>
        <v>0</v>
      </c>
    </row>
    <row r="73" spans="3:5" x14ac:dyDescent="0.2">
      <c r="C73" s="4"/>
      <c r="D73" s="6" t="str">
        <f>IFERROR(_xlfn.XLOOKUP(A73,'Food Database'!A:A,'Food Database'!B:B)*B73,"")</f>
        <v/>
      </c>
      <c r="E73" s="7">
        <f>IFERROR(_xlfn.XLOOKUP(A73,'Food Database'!A:A,'Food Database'!C:C)*B73,"")</f>
        <v>0</v>
      </c>
    </row>
    <row r="74" spans="3:5" x14ac:dyDescent="0.2">
      <c r="C74" s="4"/>
      <c r="D74" s="6" t="str">
        <f>IFERROR(_xlfn.XLOOKUP(A74,'Food Database'!A:A,'Food Database'!B:B)*B74,"")</f>
        <v/>
      </c>
      <c r="E74" s="7">
        <f>IFERROR(_xlfn.XLOOKUP(A74,'Food Database'!A:A,'Food Database'!C:C)*B74,"")</f>
        <v>0</v>
      </c>
    </row>
    <row r="75" spans="3:5" x14ac:dyDescent="0.2">
      <c r="C75" s="4"/>
      <c r="D75" s="6" t="str">
        <f>IFERROR(_xlfn.XLOOKUP(A75,'Food Database'!A:A,'Food Database'!B:B)*B75,"")</f>
        <v/>
      </c>
      <c r="E75" s="7">
        <f>IFERROR(_xlfn.XLOOKUP(A75,'Food Database'!A:A,'Food Database'!C:C)*B75,"")</f>
        <v>0</v>
      </c>
    </row>
    <row r="76" spans="3:5" x14ac:dyDescent="0.2">
      <c r="C76" s="4"/>
      <c r="D76" s="6" t="str">
        <f>IFERROR(_xlfn.XLOOKUP(A76,'Food Database'!A:A,'Food Database'!B:B)*B76,"")</f>
        <v/>
      </c>
      <c r="E76" s="7">
        <f>IFERROR(_xlfn.XLOOKUP(A76,'Food Database'!A:A,'Food Database'!C:C)*B76,"")</f>
        <v>0</v>
      </c>
    </row>
    <row r="77" spans="3:5" x14ac:dyDescent="0.2">
      <c r="C77" s="4"/>
      <c r="D77" s="6" t="str">
        <f>IFERROR(_xlfn.XLOOKUP(A77,'Food Database'!A:A,'Food Database'!B:B)*B77,"")</f>
        <v/>
      </c>
      <c r="E77" s="7">
        <f>IFERROR(_xlfn.XLOOKUP(A77,'Food Database'!A:A,'Food Database'!C:C)*B77,"")</f>
        <v>0</v>
      </c>
    </row>
    <row r="78" spans="3:5" x14ac:dyDescent="0.2">
      <c r="C78" s="4"/>
      <c r="D78" s="6" t="str">
        <f>IFERROR(_xlfn.XLOOKUP(A78,'Food Database'!A:A,'Food Database'!B:B)*B78,"")</f>
        <v/>
      </c>
      <c r="E78" s="7">
        <f>IFERROR(_xlfn.XLOOKUP(A78,'Food Database'!A:A,'Food Database'!C:C)*B78,"")</f>
        <v>0</v>
      </c>
    </row>
    <row r="79" spans="3:5" x14ac:dyDescent="0.2">
      <c r="C79" s="4"/>
      <c r="D79" s="6" t="str">
        <f>IFERROR(_xlfn.XLOOKUP(A79,'Food Database'!A:A,'Food Database'!B:B)*B79,"")</f>
        <v/>
      </c>
      <c r="E79" s="7">
        <f>IFERROR(_xlfn.XLOOKUP(A79,'Food Database'!A:A,'Food Database'!C:C)*B79,"")</f>
        <v>0</v>
      </c>
    </row>
    <row r="80" spans="3:5" x14ac:dyDescent="0.2">
      <c r="C80" s="4"/>
      <c r="D80" s="6" t="str">
        <f>IFERROR(_xlfn.XLOOKUP(A80,'Food Database'!A:A,'Food Database'!B:B)*B80,"")</f>
        <v/>
      </c>
      <c r="E80" s="7">
        <f>IFERROR(_xlfn.XLOOKUP(A80,'Food Database'!A:A,'Food Database'!C:C)*B80,"")</f>
        <v>0</v>
      </c>
    </row>
    <row r="81" spans="3:5" x14ac:dyDescent="0.2">
      <c r="C81" s="4"/>
      <c r="D81" s="6" t="str">
        <f>IFERROR(_xlfn.XLOOKUP(A81,'Food Database'!A:A,'Food Database'!B:B)*B81,"")</f>
        <v/>
      </c>
      <c r="E81" s="7">
        <f>IFERROR(_xlfn.XLOOKUP(A81,'Food Database'!A:A,'Food Database'!C:C)*B81,"")</f>
        <v>0</v>
      </c>
    </row>
    <row r="82" spans="3:5" x14ac:dyDescent="0.2">
      <c r="C82" s="4"/>
      <c r="D82" s="6" t="str">
        <f>IFERROR(_xlfn.XLOOKUP(A82,'Food Database'!A:A,'Food Database'!B:B)*B82,"")</f>
        <v/>
      </c>
      <c r="E82" s="7">
        <f>IFERROR(_xlfn.XLOOKUP(A82,'Food Database'!A:A,'Food Database'!C:C)*B82,"")</f>
        <v>0</v>
      </c>
    </row>
    <row r="83" spans="3:5" x14ac:dyDescent="0.2">
      <c r="C83" s="4"/>
      <c r="D83" s="6" t="str">
        <f>IFERROR(_xlfn.XLOOKUP(A83,'Food Database'!A:A,'Food Database'!B:B)*B83,"")</f>
        <v/>
      </c>
      <c r="E83" s="7">
        <f>IFERROR(_xlfn.XLOOKUP(A83,'Food Database'!A:A,'Food Database'!C:C)*B83,"")</f>
        <v>0</v>
      </c>
    </row>
    <row r="84" spans="3:5" x14ac:dyDescent="0.2">
      <c r="C84" s="4"/>
      <c r="D84" s="6" t="str">
        <f>IFERROR(_xlfn.XLOOKUP(A84,'Food Database'!A:A,'Food Database'!B:B)*B84,"")</f>
        <v/>
      </c>
      <c r="E84" s="7">
        <f>IFERROR(_xlfn.XLOOKUP(A84,'Food Database'!A:A,'Food Database'!C:C)*B84,"")</f>
        <v>0</v>
      </c>
    </row>
    <row r="85" spans="3:5" x14ac:dyDescent="0.2">
      <c r="C85" s="4"/>
      <c r="D85" s="6" t="str">
        <f>IFERROR(_xlfn.XLOOKUP(A85,'Food Database'!A:A,'Food Database'!B:B)*B85,"")</f>
        <v/>
      </c>
      <c r="E85" s="7">
        <f>IFERROR(_xlfn.XLOOKUP(A85,'Food Database'!A:A,'Food Database'!C:C)*B85,"")</f>
        <v>0</v>
      </c>
    </row>
    <row r="86" spans="3:5" x14ac:dyDescent="0.2">
      <c r="C86" s="4"/>
      <c r="D86" s="6" t="str">
        <f>IFERROR(_xlfn.XLOOKUP(A86,'Food Database'!A:A,'Food Database'!B:B)*B86,"")</f>
        <v/>
      </c>
      <c r="E86" s="7">
        <f>IFERROR(_xlfn.XLOOKUP(A86,'Food Database'!A:A,'Food Database'!C:C)*B86,"")</f>
        <v>0</v>
      </c>
    </row>
    <row r="87" spans="3:5" x14ac:dyDescent="0.2">
      <c r="C87" s="4"/>
      <c r="D87" s="6" t="str">
        <f>IFERROR(_xlfn.XLOOKUP(A87,'Food Database'!A:A,'Food Database'!B:B)*B87,"")</f>
        <v/>
      </c>
      <c r="E87" s="7">
        <f>IFERROR(_xlfn.XLOOKUP(A87,'Food Database'!A:A,'Food Database'!C:C)*B87,"")</f>
        <v>0</v>
      </c>
    </row>
    <row r="88" spans="3:5" x14ac:dyDescent="0.2">
      <c r="C88" s="4"/>
      <c r="D88" s="6" t="str">
        <f>IFERROR(_xlfn.XLOOKUP(A88,'Food Database'!A:A,'Food Database'!B:B)*B88,"")</f>
        <v/>
      </c>
      <c r="E88" s="7">
        <f>IFERROR(_xlfn.XLOOKUP(A88,'Food Database'!A:A,'Food Database'!C:C)*B88,"")</f>
        <v>0</v>
      </c>
    </row>
    <row r="89" spans="3:5" x14ac:dyDescent="0.2">
      <c r="C89" s="4"/>
      <c r="D89" s="6" t="str">
        <f>IFERROR(_xlfn.XLOOKUP(A89,'Food Database'!A:A,'Food Database'!B:B)*B89,"")</f>
        <v/>
      </c>
      <c r="E89" s="7">
        <f>IFERROR(_xlfn.XLOOKUP(A89,'Food Database'!A:A,'Food Database'!C:C)*B89,"")</f>
        <v>0</v>
      </c>
    </row>
    <row r="90" spans="3:5" x14ac:dyDescent="0.2">
      <c r="C90" s="4"/>
      <c r="D90" s="6" t="str">
        <f>IFERROR(_xlfn.XLOOKUP(A90,'Food Database'!A:A,'Food Database'!B:B)*B90,"")</f>
        <v/>
      </c>
      <c r="E90" s="7">
        <f>IFERROR(_xlfn.XLOOKUP(A90,'Food Database'!A:A,'Food Database'!C:C)*B90,"")</f>
        <v>0</v>
      </c>
    </row>
    <row r="91" spans="3:5" x14ac:dyDescent="0.2">
      <c r="C91" s="4"/>
      <c r="D91" s="6" t="str">
        <f>IFERROR(_xlfn.XLOOKUP(A91,'Food Database'!A:A,'Food Database'!B:B)*B91,"")</f>
        <v/>
      </c>
      <c r="E91" s="7">
        <f>IFERROR(_xlfn.XLOOKUP(A91,'Food Database'!A:A,'Food Database'!C:C)*B91,"")</f>
        <v>0</v>
      </c>
    </row>
    <row r="92" spans="3:5" x14ac:dyDescent="0.2">
      <c r="C92" s="4"/>
      <c r="D92" s="6" t="str">
        <f>IFERROR(_xlfn.XLOOKUP(A92,'Food Database'!A:A,'Food Database'!B:B)*B92,"")</f>
        <v/>
      </c>
      <c r="E92" s="7">
        <f>IFERROR(_xlfn.XLOOKUP(A92,'Food Database'!A:A,'Food Database'!C:C)*B92,"")</f>
        <v>0</v>
      </c>
    </row>
    <row r="93" spans="3:5" x14ac:dyDescent="0.2">
      <c r="C93" s="4"/>
      <c r="D93" s="6" t="str">
        <f>IFERROR(_xlfn.XLOOKUP(A93,'Food Database'!A:A,'Food Database'!B:B)*B93,"")</f>
        <v/>
      </c>
      <c r="E93" s="7">
        <f>IFERROR(_xlfn.XLOOKUP(A93,'Food Database'!A:A,'Food Database'!C:C)*B93,"")</f>
        <v>0</v>
      </c>
    </row>
    <row r="94" spans="3:5" x14ac:dyDescent="0.2">
      <c r="C94" s="4"/>
      <c r="D94" s="6" t="str">
        <f>IFERROR(_xlfn.XLOOKUP(A94,'Food Database'!A:A,'Food Database'!B:B)*B94,"")</f>
        <v/>
      </c>
      <c r="E94" s="7">
        <f>IFERROR(_xlfn.XLOOKUP(A94,'Food Database'!A:A,'Food Database'!C:C)*B94,"")</f>
        <v>0</v>
      </c>
    </row>
    <row r="95" spans="3:5" x14ac:dyDescent="0.2">
      <c r="C95" s="4"/>
      <c r="D95" s="6" t="str">
        <f>IFERROR(_xlfn.XLOOKUP(A95,'Food Database'!A:A,'Food Database'!B:B)*B95,"")</f>
        <v/>
      </c>
      <c r="E95" s="7">
        <f>IFERROR(_xlfn.XLOOKUP(A95,'Food Database'!A:A,'Food Database'!C:C)*B95,"")</f>
        <v>0</v>
      </c>
    </row>
    <row r="96" spans="3:5" x14ac:dyDescent="0.2">
      <c r="C96" s="4"/>
      <c r="D96" s="6" t="str">
        <f>IFERROR(_xlfn.XLOOKUP(A96,'Food Database'!A:A,'Food Database'!B:B)*B96,"")</f>
        <v/>
      </c>
      <c r="E96" s="7">
        <f>IFERROR(_xlfn.XLOOKUP(A96,'Food Database'!A:A,'Food Database'!C:C)*B96,"")</f>
        <v>0</v>
      </c>
    </row>
    <row r="97" spans="3:5" x14ac:dyDescent="0.2">
      <c r="C97" s="4"/>
      <c r="D97" s="6" t="str">
        <f>IFERROR(_xlfn.XLOOKUP(A97,'Food Database'!A:A,'Food Database'!B:B)*B97,"")</f>
        <v/>
      </c>
      <c r="E97" s="7">
        <f>IFERROR(_xlfn.XLOOKUP(A97,'Food Database'!A:A,'Food Database'!C:C)*B97,"")</f>
        <v>0</v>
      </c>
    </row>
    <row r="98" spans="3:5" x14ac:dyDescent="0.2">
      <c r="C98" s="4"/>
      <c r="D98" s="6" t="str">
        <f>IFERROR(_xlfn.XLOOKUP(A98,'Food Database'!A:A,'Food Database'!B:B)*B98,"")</f>
        <v/>
      </c>
      <c r="E98" s="7">
        <f>IFERROR(_xlfn.XLOOKUP(A98,'Food Database'!A:A,'Food Database'!C:C)*B98,"")</f>
        <v>0</v>
      </c>
    </row>
    <row r="99" spans="3:5" x14ac:dyDescent="0.2">
      <c r="C99" s="4"/>
      <c r="D99" s="6" t="str">
        <f>IFERROR(_xlfn.XLOOKUP(A99,'Food Database'!A:A,'Food Database'!B:B)*B99,"")</f>
        <v/>
      </c>
      <c r="E99" s="7">
        <f>IFERROR(_xlfn.XLOOKUP(A99,'Food Database'!A:A,'Food Database'!C:C)*B99,"")</f>
        <v>0</v>
      </c>
    </row>
    <row r="100" spans="3:5" x14ac:dyDescent="0.2">
      <c r="C100" s="4"/>
      <c r="D100" s="6" t="str">
        <f>IFERROR(_xlfn.XLOOKUP(A100,'Food Database'!A:A,'Food Database'!B:B)*B100,"")</f>
        <v/>
      </c>
      <c r="E100" s="7">
        <f>IFERROR(_xlfn.XLOOKUP(A100,'Food Database'!A:A,'Food Database'!C:C)*B100,"")</f>
        <v>0</v>
      </c>
    </row>
    <row r="101" spans="3:5" x14ac:dyDescent="0.2">
      <c r="C101" s="4"/>
      <c r="D101" s="6" t="str">
        <f>IFERROR(_xlfn.XLOOKUP(A101,'Food Database'!A:A,'Food Database'!B:B)*B101,"")</f>
        <v/>
      </c>
      <c r="E101" s="7">
        <f>IFERROR(_xlfn.XLOOKUP(A101,'Food Database'!A:A,'Food Database'!C:C)*B101,"")</f>
        <v>0</v>
      </c>
    </row>
    <row r="102" spans="3:5" x14ac:dyDescent="0.2">
      <c r="C102" s="4"/>
      <c r="D102" s="6" t="str">
        <f>IFERROR(_xlfn.XLOOKUP(A102,'Food Database'!A:A,'Food Database'!B:B)*B102,"")</f>
        <v/>
      </c>
      <c r="E102" s="7">
        <f>IFERROR(_xlfn.XLOOKUP(A102,'Food Database'!A:A,'Food Database'!C:C)*B102,"")</f>
        <v>0</v>
      </c>
    </row>
    <row r="103" spans="3:5" x14ac:dyDescent="0.2">
      <c r="C103" s="4"/>
      <c r="D103" s="6" t="str">
        <f>IFERROR(_xlfn.XLOOKUP(A103,'Food Database'!A:A,'Food Database'!B:B)*B103,"")</f>
        <v/>
      </c>
      <c r="E103" s="7">
        <f>IFERROR(_xlfn.XLOOKUP(A103,'Food Database'!A:A,'Food Database'!C:C)*B103,"")</f>
        <v>0</v>
      </c>
    </row>
    <row r="104" spans="3:5" x14ac:dyDescent="0.2">
      <c r="C104" s="4"/>
      <c r="D104" s="6" t="str">
        <f>IFERROR(_xlfn.XLOOKUP(A104,'Food Database'!A:A,'Food Database'!B:B)*B104,"")</f>
        <v/>
      </c>
      <c r="E104" s="7">
        <f>IFERROR(_xlfn.XLOOKUP(A104,'Food Database'!A:A,'Food Database'!C:C)*B104,"")</f>
        <v>0</v>
      </c>
    </row>
    <row r="105" spans="3:5" x14ac:dyDescent="0.2">
      <c r="C105" s="4"/>
      <c r="D105" s="6" t="str">
        <f>IFERROR(_xlfn.XLOOKUP(A105,'Food Database'!A:A,'Food Database'!B:B)*B105,"")</f>
        <v/>
      </c>
      <c r="E105" s="7">
        <f>IFERROR(_xlfn.XLOOKUP(A105,'Food Database'!A:A,'Food Database'!C:C)*B105,"")</f>
        <v>0</v>
      </c>
    </row>
    <row r="106" spans="3:5" x14ac:dyDescent="0.2">
      <c r="C106" s="4"/>
      <c r="D106" s="6" t="str">
        <f>IFERROR(_xlfn.XLOOKUP(A106,'Food Database'!A:A,'Food Database'!B:B)*B106,"")</f>
        <v/>
      </c>
      <c r="E106" s="7">
        <f>IFERROR(_xlfn.XLOOKUP(A106,'Food Database'!A:A,'Food Database'!C:C)*B106,"")</f>
        <v>0</v>
      </c>
    </row>
    <row r="107" spans="3:5" x14ac:dyDescent="0.2">
      <c r="C107" s="4"/>
      <c r="D107" s="6" t="str">
        <f>IFERROR(_xlfn.XLOOKUP(A107,'Food Database'!A:A,'Food Database'!B:B)*B107,"")</f>
        <v/>
      </c>
      <c r="E107" s="7">
        <f>IFERROR(_xlfn.XLOOKUP(A107,'Food Database'!A:A,'Food Database'!C:C)*B107,"")</f>
        <v>0</v>
      </c>
    </row>
    <row r="108" spans="3:5" x14ac:dyDescent="0.2">
      <c r="C108" s="4"/>
      <c r="D108" s="6" t="str">
        <f>IFERROR(_xlfn.XLOOKUP(A108,'Food Database'!A:A,'Food Database'!B:B)*B108,"")</f>
        <v/>
      </c>
      <c r="E108" s="7">
        <f>IFERROR(_xlfn.XLOOKUP(A108,'Food Database'!A:A,'Food Database'!C:C)*B108,"")</f>
        <v>0</v>
      </c>
    </row>
    <row r="109" spans="3:5" x14ac:dyDescent="0.2">
      <c r="C109" s="4"/>
      <c r="D109" s="6" t="str">
        <f>IFERROR(_xlfn.XLOOKUP(A109,'Food Database'!A:A,'Food Database'!B:B)*B109,"")</f>
        <v/>
      </c>
      <c r="E109" s="7">
        <f>IFERROR(_xlfn.XLOOKUP(A109,'Food Database'!A:A,'Food Database'!C:C)*B109,"")</f>
        <v>0</v>
      </c>
    </row>
    <row r="110" spans="3:5" x14ac:dyDescent="0.2">
      <c r="C110" s="4"/>
      <c r="D110" s="6" t="str">
        <f>IFERROR(_xlfn.XLOOKUP(A110,'Food Database'!A:A,'Food Database'!B:B)*B110,"")</f>
        <v/>
      </c>
      <c r="E110" s="7">
        <f>IFERROR(_xlfn.XLOOKUP(A110,'Food Database'!A:A,'Food Database'!C:C)*B110,"")</f>
        <v>0</v>
      </c>
    </row>
    <row r="111" spans="3:5" x14ac:dyDescent="0.2">
      <c r="C111" s="4"/>
      <c r="D111" s="6" t="str">
        <f>IFERROR(_xlfn.XLOOKUP(A111,'Food Database'!A:A,'Food Database'!B:B)*B111,"")</f>
        <v/>
      </c>
      <c r="E111" s="7">
        <f>IFERROR(_xlfn.XLOOKUP(A111,'Food Database'!A:A,'Food Database'!C:C)*B111,"")</f>
        <v>0</v>
      </c>
    </row>
    <row r="112" spans="3:5" x14ac:dyDescent="0.2">
      <c r="C112" s="4"/>
      <c r="D112" s="6" t="str">
        <f>IFERROR(_xlfn.XLOOKUP(A112,'Food Database'!A:A,'Food Database'!B:B)*B112,"")</f>
        <v/>
      </c>
      <c r="E112" s="7">
        <f>IFERROR(_xlfn.XLOOKUP(A112,'Food Database'!A:A,'Food Database'!C:C)*B112,"")</f>
        <v>0</v>
      </c>
    </row>
    <row r="113" spans="3:5" x14ac:dyDescent="0.2">
      <c r="C113" s="4"/>
      <c r="D113" s="6" t="str">
        <f>IFERROR(_xlfn.XLOOKUP(A113,'Food Database'!A:A,'Food Database'!B:B)*B113,"")</f>
        <v/>
      </c>
      <c r="E113" s="7">
        <f>IFERROR(_xlfn.XLOOKUP(A113,'Food Database'!A:A,'Food Database'!C:C)*B113,"")</f>
        <v>0</v>
      </c>
    </row>
    <row r="114" spans="3:5" x14ac:dyDescent="0.2">
      <c r="C114" s="4"/>
      <c r="D114" s="6" t="str">
        <f>IFERROR(_xlfn.XLOOKUP(A114,'Food Database'!A:A,'Food Database'!B:B)*B114,"")</f>
        <v/>
      </c>
      <c r="E114" s="7">
        <f>IFERROR(_xlfn.XLOOKUP(A114,'Food Database'!A:A,'Food Database'!C:C)*B114,"")</f>
        <v>0</v>
      </c>
    </row>
    <row r="115" spans="3:5" x14ac:dyDescent="0.2">
      <c r="C115" s="4"/>
      <c r="D115" s="6" t="str">
        <f>IFERROR(_xlfn.XLOOKUP(A115,'Food Database'!A:A,'Food Database'!B:B)*B115,"")</f>
        <v/>
      </c>
      <c r="E115" s="7">
        <f>IFERROR(_xlfn.XLOOKUP(A115,'Food Database'!A:A,'Food Database'!C:C)*B115,"")</f>
        <v>0</v>
      </c>
    </row>
    <row r="116" spans="3:5" x14ac:dyDescent="0.2">
      <c r="C116" s="4"/>
      <c r="D116" s="6" t="str">
        <f>IFERROR(_xlfn.XLOOKUP(A116,'Food Database'!A:A,'Food Database'!B:B)*B116,"")</f>
        <v/>
      </c>
      <c r="E116" s="7">
        <f>IFERROR(_xlfn.XLOOKUP(A116,'Food Database'!A:A,'Food Database'!C:C)*B116,"")</f>
        <v>0</v>
      </c>
    </row>
    <row r="117" spans="3:5" x14ac:dyDescent="0.2">
      <c r="C117" s="4"/>
      <c r="D117" s="6" t="str">
        <f>IFERROR(_xlfn.XLOOKUP(A117,'Food Database'!A:A,'Food Database'!B:B)*B117,"")</f>
        <v/>
      </c>
      <c r="E117" s="7">
        <f>IFERROR(_xlfn.XLOOKUP(A117,'Food Database'!A:A,'Food Database'!C:C)*B117,"")</f>
        <v>0</v>
      </c>
    </row>
    <row r="118" spans="3:5" x14ac:dyDescent="0.2">
      <c r="C118" s="4"/>
      <c r="D118" s="6" t="str">
        <f>IFERROR(_xlfn.XLOOKUP(A118,'Food Database'!A:A,'Food Database'!B:B)*B118,"")</f>
        <v/>
      </c>
      <c r="E118" s="7">
        <f>IFERROR(_xlfn.XLOOKUP(A118,'Food Database'!A:A,'Food Database'!C:C)*B118,"")</f>
        <v>0</v>
      </c>
    </row>
    <row r="119" spans="3:5" x14ac:dyDescent="0.2">
      <c r="C119" s="4"/>
      <c r="D119" s="6" t="str">
        <f>IFERROR(_xlfn.XLOOKUP(A119,'Food Database'!A:A,'Food Database'!B:B)*B119,"")</f>
        <v/>
      </c>
      <c r="E119" s="7">
        <f>IFERROR(_xlfn.XLOOKUP(A119,'Food Database'!A:A,'Food Database'!C:C)*B119,"")</f>
        <v>0</v>
      </c>
    </row>
    <row r="120" spans="3:5" x14ac:dyDescent="0.2">
      <c r="C120" s="4"/>
      <c r="D120" s="6" t="str">
        <f>IFERROR(_xlfn.XLOOKUP(A120,'Food Database'!A:A,'Food Database'!B:B)*B120,"")</f>
        <v/>
      </c>
      <c r="E120" s="7">
        <f>IFERROR(_xlfn.XLOOKUP(A120,'Food Database'!A:A,'Food Database'!C:C)*B120,"")</f>
        <v>0</v>
      </c>
    </row>
    <row r="121" spans="3:5" x14ac:dyDescent="0.2">
      <c r="C121" s="4"/>
      <c r="D121" s="6" t="str">
        <f>IFERROR(_xlfn.XLOOKUP(A121,'Food Database'!A:A,'Food Database'!B:B)*B121,"")</f>
        <v/>
      </c>
      <c r="E121" s="7">
        <f>IFERROR(_xlfn.XLOOKUP(A121,'Food Database'!A:A,'Food Database'!C:C)*B121,"")</f>
        <v>0</v>
      </c>
    </row>
    <row r="122" spans="3:5" x14ac:dyDescent="0.2">
      <c r="C122" s="4"/>
      <c r="D122" s="6" t="str">
        <f>IFERROR(_xlfn.XLOOKUP(A122,'Food Database'!A:A,'Food Database'!B:B)*B122,"")</f>
        <v/>
      </c>
      <c r="E122" s="7">
        <f>IFERROR(_xlfn.XLOOKUP(A122,'Food Database'!A:A,'Food Database'!C:C)*B122,"")</f>
        <v>0</v>
      </c>
    </row>
    <row r="123" spans="3:5" x14ac:dyDescent="0.2">
      <c r="C123" s="4"/>
      <c r="D123" s="6" t="str">
        <f>IFERROR(_xlfn.XLOOKUP(A123,'Food Database'!A:A,'Food Database'!B:B)*B123,"")</f>
        <v/>
      </c>
      <c r="E123" s="7">
        <f>IFERROR(_xlfn.XLOOKUP(A123,'Food Database'!A:A,'Food Database'!C:C)*B123,"")</f>
        <v>0</v>
      </c>
    </row>
    <row r="124" spans="3:5" x14ac:dyDescent="0.2">
      <c r="C124" s="4"/>
      <c r="D124" s="6" t="str">
        <f>IFERROR(_xlfn.XLOOKUP(A124,'Food Database'!A:A,'Food Database'!B:B)*B124,"")</f>
        <v/>
      </c>
      <c r="E124" s="7">
        <f>IFERROR(_xlfn.XLOOKUP(A124,'Food Database'!A:A,'Food Database'!C:C)*B124,"")</f>
        <v>0</v>
      </c>
    </row>
    <row r="125" spans="3:5" x14ac:dyDescent="0.2">
      <c r="C125" s="4"/>
      <c r="D125" s="6" t="str">
        <f>IFERROR(_xlfn.XLOOKUP(A125,'Food Database'!A:A,'Food Database'!B:B)*B125,"")</f>
        <v/>
      </c>
      <c r="E125" s="7">
        <f>IFERROR(_xlfn.XLOOKUP(A125,'Food Database'!A:A,'Food Database'!C:C)*B125,"")</f>
        <v>0</v>
      </c>
    </row>
    <row r="126" spans="3:5" x14ac:dyDescent="0.2">
      <c r="C126" s="4"/>
      <c r="D126" s="6" t="str">
        <f>IFERROR(_xlfn.XLOOKUP(A126,'Food Database'!A:A,'Food Database'!B:B)*B126,"")</f>
        <v/>
      </c>
      <c r="E126" s="7">
        <f>IFERROR(_xlfn.XLOOKUP(A126,'Food Database'!A:A,'Food Database'!C:C)*B126,"")</f>
        <v>0</v>
      </c>
    </row>
    <row r="127" spans="3:5" x14ac:dyDescent="0.2">
      <c r="C127" s="4"/>
      <c r="D127" s="6" t="str">
        <f>IFERROR(_xlfn.XLOOKUP(A127,'Food Database'!A:A,'Food Database'!B:B)*B127,"")</f>
        <v/>
      </c>
      <c r="E127" s="7">
        <f>IFERROR(_xlfn.XLOOKUP(A127,'Food Database'!A:A,'Food Database'!C:C)*B127,"")</f>
        <v>0</v>
      </c>
    </row>
    <row r="128" spans="3:5" x14ac:dyDescent="0.2">
      <c r="C128" s="4"/>
      <c r="D128" s="6" t="str">
        <f>IFERROR(_xlfn.XLOOKUP(A128,'Food Database'!A:A,'Food Database'!B:B)*B128,"")</f>
        <v/>
      </c>
      <c r="E128" s="7">
        <f>IFERROR(_xlfn.XLOOKUP(A128,'Food Database'!A:A,'Food Database'!C:C)*B128,"")</f>
        <v>0</v>
      </c>
    </row>
    <row r="129" spans="3:5" x14ac:dyDescent="0.2">
      <c r="C129" s="4"/>
      <c r="D129" s="6" t="str">
        <f>IFERROR(_xlfn.XLOOKUP(A129,'Food Database'!A:A,'Food Database'!B:B)*B129,"")</f>
        <v/>
      </c>
      <c r="E129" s="7">
        <f>IFERROR(_xlfn.XLOOKUP(A129,'Food Database'!A:A,'Food Database'!C:C)*B129,"")</f>
        <v>0</v>
      </c>
    </row>
    <row r="130" spans="3:5" x14ac:dyDescent="0.2">
      <c r="C130" s="4"/>
      <c r="D130" s="6" t="str">
        <f>IFERROR(_xlfn.XLOOKUP(A130,'Food Database'!A:A,'Food Database'!B:B)*B130,"")</f>
        <v/>
      </c>
      <c r="E130" s="7">
        <f>IFERROR(_xlfn.XLOOKUP(A130,'Food Database'!A:A,'Food Database'!C:C)*B130,"")</f>
        <v>0</v>
      </c>
    </row>
    <row r="131" spans="3:5" x14ac:dyDescent="0.2">
      <c r="C131" s="4"/>
      <c r="D131" s="6" t="str">
        <f>IFERROR(_xlfn.XLOOKUP(A131,'Food Database'!A:A,'Food Database'!B:B)*B131,"")</f>
        <v/>
      </c>
      <c r="E131" s="7">
        <f>IFERROR(_xlfn.XLOOKUP(A131,'Food Database'!A:A,'Food Database'!C:C)*B131,"")</f>
        <v>0</v>
      </c>
    </row>
    <row r="132" spans="3:5" x14ac:dyDescent="0.2">
      <c r="C132" s="4"/>
      <c r="D132" s="6" t="str">
        <f>IFERROR(_xlfn.XLOOKUP(A132,'Food Database'!A:A,'Food Database'!B:B)*B132,"")</f>
        <v/>
      </c>
      <c r="E132" s="7">
        <f>IFERROR(_xlfn.XLOOKUP(A132,'Food Database'!A:A,'Food Database'!C:C)*B132,"")</f>
        <v>0</v>
      </c>
    </row>
    <row r="133" spans="3:5" x14ac:dyDescent="0.2">
      <c r="C133" s="4"/>
      <c r="D133" s="6" t="str">
        <f>IFERROR(_xlfn.XLOOKUP(A133,'Food Database'!A:A,'Food Database'!B:B)*B133,"")</f>
        <v/>
      </c>
      <c r="E133" s="7">
        <f>IFERROR(_xlfn.XLOOKUP(A133,'Food Database'!A:A,'Food Database'!C:C)*B133,"")</f>
        <v>0</v>
      </c>
    </row>
    <row r="134" spans="3:5" x14ac:dyDescent="0.2">
      <c r="C134" s="4"/>
      <c r="D134" s="6" t="str">
        <f>IFERROR(_xlfn.XLOOKUP(A134,'Food Database'!A:A,'Food Database'!B:B)*B134,"")</f>
        <v/>
      </c>
      <c r="E134" s="7">
        <f>IFERROR(_xlfn.XLOOKUP(A134,'Food Database'!A:A,'Food Database'!C:C)*B134,"")</f>
        <v>0</v>
      </c>
    </row>
    <row r="135" spans="3:5" x14ac:dyDescent="0.2">
      <c r="C135" s="4"/>
      <c r="D135" s="6" t="str">
        <f>IFERROR(_xlfn.XLOOKUP(A135,'Food Database'!A:A,'Food Database'!B:B)*B135,"")</f>
        <v/>
      </c>
      <c r="E135" s="7">
        <f>IFERROR(_xlfn.XLOOKUP(A135,'Food Database'!A:A,'Food Database'!C:C)*B135,"")</f>
        <v>0</v>
      </c>
    </row>
    <row r="136" spans="3:5" x14ac:dyDescent="0.2">
      <c r="C136" s="4"/>
      <c r="D136" s="6" t="str">
        <f>IFERROR(_xlfn.XLOOKUP(A136,'Food Database'!A:A,'Food Database'!B:B)*B136,"")</f>
        <v/>
      </c>
      <c r="E136" s="7">
        <f>IFERROR(_xlfn.XLOOKUP(A136,'Food Database'!A:A,'Food Database'!C:C)*B136,"")</f>
        <v>0</v>
      </c>
    </row>
    <row r="137" spans="3:5" x14ac:dyDescent="0.2">
      <c r="C137" s="4"/>
      <c r="D137" s="6" t="str">
        <f>IFERROR(_xlfn.XLOOKUP(A137,'Food Database'!A:A,'Food Database'!B:B)*B137,"")</f>
        <v/>
      </c>
      <c r="E137" s="7">
        <f>IFERROR(_xlfn.XLOOKUP(A137,'Food Database'!A:A,'Food Database'!C:C)*B137,"")</f>
        <v>0</v>
      </c>
    </row>
    <row r="138" spans="3:5" x14ac:dyDescent="0.2">
      <c r="C138" s="4"/>
      <c r="D138" s="6" t="str">
        <f>IFERROR(_xlfn.XLOOKUP(A138,'Food Database'!A:A,'Food Database'!B:B)*B138,"")</f>
        <v/>
      </c>
      <c r="E138" s="7">
        <f>IFERROR(_xlfn.XLOOKUP(A138,'Food Database'!A:A,'Food Database'!C:C)*B138,"")</f>
        <v>0</v>
      </c>
    </row>
    <row r="139" spans="3:5" x14ac:dyDescent="0.2">
      <c r="C139" s="4"/>
      <c r="D139" s="6" t="str">
        <f>IFERROR(_xlfn.XLOOKUP(A139,'Food Database'!A:A,'Food Database'!B:B)*B139,"")</f>
        <v/>
      </c>
      <c r="E139" s="7">
        <f>IFERROR(_xlfn.XLOOKUP(A139,'Food Database'!A:A,'Food Database'!C:C)*B139,"")</f>
        <v>0</v>
      </c>
    </row>
    <row r="140" spans="3:5" x14ac:dyDescent="0.2">
      <c r="C140" s="4"/>
      <c r="D140" s="6" t="str">
        <f>IFERROR(_xlfn.XLOOKUP(A140,'Food Database'!A:A,'Food Database'!B:B)*B140,"")</f>
        <v/>
      </c>
      <c r="E140" s="7">
        <f>IFERROR(_xlfn.XLOOKUP(A140,'Food Database'!A:A,'Food Database'!C:C)*B140,"")</f>
        <v>0</v>
      </c>
    </row>
    <row r="141" spans="3:5" x14ac:dyDescent="0.2">
      <c r="C141" s="4"/>
      <c r="D141" s="6" t="str">
        <f>IFERROR(_xlfn.XLOOKUP(A141,'Food Database'!A:A,'Food Database'!B:B)*B141,"")</f>
        <v/>
      </c>
      <c r="E141" s="7">
        <f>IFERROR(_xlfn.XLOOKUP(A141,'Food Database'!A:A,'Food Database'!C:C)*B141,"")</f>
        <v>0</v>
      </c>
    </row>
    <row r="142" spans="3:5" x14ac:dyDescent="0.2">
      <c r="C142" s="4"/>
      <c r="D142" s="6" t="str">
        <f>IFERROR(_xlfn.XLOOKUP(A142,'Food Database'!A:A,'Food Database'!B:B)*B142,"")</f>
        <v/>
      </c>
      <c r="E142" s="7">
        <f>IFERROR(_xlfn.XLOOKUP(A142,'Food Database'!A:A,'Food Database'!C:C)*B142,"")</f>
        <v>0</v>
      </c>
    </row>
    <row r="143" spans="3:5" x14ac:dyDescent="0.2">
      <c r="C143" s="4"/>
      <c r="D143" s="6" t="str">
        <f>IFERROR(_xlfn.XLOOKUP(A143,'Food Database'!A:A,'Food Database'!B:B)*B143,"")</f>
        <v/>
      </c>
      <c r="E143" s="7">
        <f>IFERROR(_xlfn.XLOOKUP(A143,'Food Database'!A:A,'Food Database'!C:C)*B143,"")</f>
        <v>0</v>
      </c>
    </row>
    <row r="144" spans="3:5" x14ac:dyDescent="0.2">
      <c r="C144" s="4"/>
      <c r="D144" s="6" t="str">
        <f>IFERROR(_xlfn.XLOOKUP(A144,'Food Database'!A:A,'Food Database'!B:B)*B144,"")</f>
        <v/>
      </c>
      <c r="E144" s="7">
        <f>IFERROR(_xlfn.XLOOKUP(A144,'Food Database'!A:A,'Food Database'!C:C)*B144,"")</f>
        <v>0</v>
      </c>
    </row>
    <row r="145" spans="3:5" x14ac:dyDescent="0.2">
      <c r="C145" s="4"/>
      <c r="D145" s="6" t="str">
        <f>IFERROR(_xlfn.XLOOKUP(A145,'Food Database'!A:A,'Food Database'!B:B)*B145,"")</f>
        <v/>
      </c>
      <c r="E145" s="7">
        <f>IFERROR(_xlfn.XLOOKUP(A145,'Food Database'!A:A,'Food Database'!C:C)*B145,"")</f>
        <v>0</v>
      </c>
    </row>
    <row r="146" spans="3:5" x14ac:dyDescent="0.2">
      <c r="C146" s="4"/>
      <c r="D146" s="6" t="str">
        <f>IFERROR(_xlfn.XLOOKUP(A146,'Food Database'!A:A,'Food Database'!B:B)*B146,"")</f>
        <v/>
      </c>
      <c r="E146" s="7">
        <f>IFERROR(_xlfn.XLOOKUP(A146,'Food Database'!A:A,'Food Database'!C:C)*B146,"")</f>
        <v>0</v>
      </c>
    </row>
    <row r="147" spans="3:5" x14ac:dyDescent="0.2">
      <c r="C147" s="4"/>
      <c r="D147" s="6" t="str">
        <f>IFERROR(_xlfn.XLOOKUP(A147,'Food Database'!A:A,'Food Database'!B:B)*B147,"")</f>
        <v/>
      </c>
      <c r="E147" s="7">
        <f>IFERROR(_xlfn.XLOOKUP(A147,'Food Database'!A:A,'Food Database'!C:C)*B147,"")</f>
        <v>0</v>
      </c>
    </row>
    <row r="148" spans="3:5" x14ac:dyDescent="0.2">
      <c r="C148" s="4"/>
      <c r="D148" s="6" t="str">
        <f>IFERROR(_xlfn.XLOOKUP(A148,'Food Database'!A:A,'Food Database'!B:B)*B148,"")</f>
        <v/>
      </c>
      <c r="E148" s="7">
        <f>IFERROR(_xlfn.XLOOKUP(A148,'Food Database'!A:A,'Food Database'!C:C)*B148,"")</f>
        <v>0</v>
      </c>
    </row>
    <row r="149" spans="3:5" x14ac:dyDescent="0.2">
      <c r="C149" s="4"/>
      <c r="D149" s="6" t="str">
        <f>IFERROR(_xlfn.XLOOKUP(A149,'Food Database'!A:A,'Food Database'!B:B)*B149,"")</f>
        <v/>
      </c>
      <c r="E149" s="7">
        <f>IFERROR(_xlfn.XLOOKUP(A149,'Food Database'!A:A,'Food Database'!C:C)*B149,"")</f>
        <v>0</v>
      </c>
    </row>
    <row r="150" spans="3:5" x14ac:dyDescent="0.2">
      <c r="C150" s="4"/>
      <c r="D150" s="6" t="str">
        <f>IFERROR(_xlfn.XLOOKUP(A150,'Food Database'!A:A,'Food Database'!B:B)*B150,"")</f>
        <v/>
      </c>
      <c r="E150" s="7">
        <f>IFERROR(_xlfn.XLOOKUP(A150,'Food Database'!A:A,'Food Database'!C:C)*B150,"")</f>
        <v>0</v>
      </c>
    </row>
    <row r="151" spans="3:5" x14ac:dyDescent="0.2">
      <c r="C151" s="4"/>
      <c r="D151" s="6" t="str">
        <f>IFERROR(_xlfn.XLOOKUP(A151,'Food Database'!A:A,'Food Database'!B:B)*B151,"")</f>
        <v/>
      </c>
      <c r="E151" s="7">
        <f>IFERROR(_xlfn.XLOOKUP(A151,'Food Database'!A:A,'Food Database'!C:C)*B151,"")</f>
        <v>0</v>
      </c>
    </row>
    <row r="152" spans="3:5" x14ac:dyDescent="0.2">
      <c r="C152" s="4"/>
      <c r="D152" s="6" t="str">
        <f>IFERROR(_xlfn.XLOOKUP(A152,'Food Database'!A:A,'Food Database'!B:B)*B152,"")</f>
        <v/>
      </c>
      <c r="E152" s="7">
        <f>IFERROR(_xlfn.XLOOKUP(A152,'Food Database'!A:A,'Food Database'!C:C)*B152,"")</f>
        <v>0</v>
      </c>
    </row>
    <row r="153" spans="3:5" x14ac:dyDescent="0.2">
      <c r="C153" s="4"/>
      <c r="D153" s="6" t="str">
        <f>IFERROR(_xlfn.XLOOKUP(A153,'Food Database'!A:A,'Food Database'!B:B)*B153,"")</f>
        <v/>
      </c>
      <c r="E153" s="7">
        <f>IFERROR(_xlfn.XLOOKUP(A153,'Food Database'!A:A,'Food Database'!C:C)*B153,"")</f>
        <v>0</v>
      </c>
    </row>
    <row r="154" spans="3:5" x14ac:dyDescent="0.2">
      <c r="C154" s="4"/>
      <c r="D154" s="6" t="str">
        <f>IFERROR(_xlfn.XLOOKUP(A154,'Food Database'!A:A,'Food Database'!B:B)*B154,"")</f>
        <v/>
      </c>
      <c r="E154" s="7">
        <f>IFERROR(_xlfn.XLOOKUP(A154,'Food Database'!A:A,'Food Database'!C:C)*B154,"")</f>
        <v>0</v>
      </c>
    </row>
    <row r="155" spans="3:5" x14ac:dyDescent="0.2">
      <c r="C155" s="4"/>
      <c r="D155" s="6" t="str">
        <f>IFERROR(_xlfn.XLOOKUP(A155,'Food Database'!A:A,'Food Database'!B:B)*B155,"")</f>
        <v/>
      </c>
      <c r="E155" s="7">
        <f>IFERROR(_xlfn.XLOOKUP(A155,'Food Database'!A:A,'Food Database'!C:C)*B155,"")</f>
        <v>0</v>
      </c>
    </row>
    <row r="156" spans="3:5" x14ac:dyDescent="0.2">
      <c r="C156" s="4"/>
      <c r="D156" s="6" t="str">
        <f>IFERROR(_xlfn.XLOOKUP(A156,'Food Database'!A:A,'Food Database'!B:B)*B156,"")</f>
        <v/>
      </c>
      <c r="E156" s="7">
        <f>IFERROR(_xlfn.XLOOKUP(A156,'Food Database'!A:A,'Food Database'!C:C)*B156,"")</f>
        <v>0</v>
      </c>
    </row>
    <row r="157" spans="3:5" x14ac:dyDescent="0.2">
      <c r="C157" s="4"/>
      <c r="D157" s="6" t="str">
        <f>IFERROR(_xlfn.XLOOKUP(A157,'Food Database'!A:A,'Food Database'!B:B)*B157,"")</f>
        <v/>
      </c>
      <c r="E157" s="7">
        <f>IFERROR(_xlfn.XLOOKUP(A157,'Food Database'!A:A,'Food Database'!C:C)*B157,"")</f>
        <v>0</v>
      </c>
    </row>
    <row r="158" spans="3:5" x14ac:dyDescent="0.2">
      <c r="C158" s="4"/>
      <c r="D158" s="6" t="str">
        <f>IFERROR(_xlfn.XLOOKUP(A158,'Food Database'!A:A,'Food Database'!B:B)*B158,"")</f>
        <v/>
      </c>
      <c r="E158" s="7">
        <f>IFERROR(_xlfn.XLOOKUP(A158,'Food Database'!A:A,'Food Database'!C:C)*B158,"")</f>
        <v>0</v>
      </c>
    </row>
    <row r="159" spans="3:5" x14ac:dyDescent="0.2">
      <c r="C159" s="4"/>
      <c r="D159" s="6" t="str">
        <f>IFERROR(_xlfn.XLOOKUP(A159,'Food Database'!A:A,'Food Database'!B:B)*B159,"")</f>
        <v/>
      </c>
      <c r="E159" s="7">
        <f>IFERROR(_xlfn.XLOOKUP(A159,'Food Database'!A:A,'Food Database'!C:C)*B159,"")</f>
        <v>0</v>
      </c>
    </row>
    <row r="160" spans="3:5" x14ac:dyDescent="0.2">
      <c r="C160" s="4"/>
      <c r="D160" s="6" t="str">
        <f>IFERROR(_xlfn.XLOOKUP(A160,'Food Database'!A:A,'Food Database'!B:B)*B160,"")</f>
        <v/>
      </c>
      <c r="E160" s="7">
        <f>IFERROR(_xlfn.XLOOKUP(A160,'Food Database'!A:A,'Food Database'!C:C)*B160,"")</f>
        <v>0</v>
      </c>
    </row>
    <row r="161" spans="3:5" x14ac:dyDescent="0.2">
      <c r="C161" s="4"/>
      <c r="D161" s="6" t="str">
        <f>IFERROR(_xlfn.XLOOKUP(A161,'Food Database'!A:A,'Food Database'!B:B)*B161,"")</f>
        <v/>
      </c>
      <c r="E161" s="7">
        <f>IFERROR(_xlfn.XLOOKUP(A161,'Food Database'!A:A,'Food Database'!C:C)*B161,"")</f>
        <v>0</v>
      </c>
    </row>
    <row r="162" spans="3:5" x14ac:dyDescent="0.2">
      <c r="C162" s="4"/>
      <c r="D162" s="6" t="str">
        <f>IFERROR(_xlfn.XLOOKUP(A162,'Food Database'!A:A,'Food Database'!B:B)*B162,"")</f>
        <v/>
      </c>
      <c r="E162" s="7">
        <f>IFERROR(_xlfn.XLOOKUP(A162,'Food Database'!A:A,'Food Database'!C:C)*B162,"")</f>
        <v>0</v>
      </c>
    </row>
    <row r="163" spans="3:5" x14ac:dyDescent="0.2">
      <c r="C163" s="4"/>
      <c r="D163" s="6" t="str">
        <f>IFERROR(_xlfn.XLOOKUP(A163,'Food Database'!A:A,'Food Database'!B:B)*B163,"")</f>
        <v/>
      </c>
      <c r="E163" s="7">
        <f>IFERROR(_xlfn.XLOOKUP(A163,'Food Database'!A:A,'Food Database'!C:C)*B163,"")</f>
        <v>0</v>
      </c>
    </row>
    <row r="164" spans="3:5" x14ac:dyDescent="0.2">
      <c r="C164" s="4"/>
      <c r="D164" s="6" t="str">
        <f>IFERROR(_xlfn.XLOOKUP(A164,'Food Database'!A:A,'Food Database'!B:B)*B164,"")</f>
        <v/>
      </c>
      <c r="E164" s="7">
        <f>IFERROR(_xlfn.XLOOKUP(A164,'Food Database'!A:A,'Food Database'!C:C)*B164,"")</f>
        <v>0</v>
      </c>
    </row>
    <row r="165" spans="3:5" x14ac:dyDescent="0.2">
      <c r="C165" s="4"/>
      <c r="D165" s="6" t="str">
        <f>IFERROR(_xlfn.XLOOKUP(A165,'Food Database'!A:A,'Food Database'!B:B)*B165,"")</f>
        <v/>
      </c>
      <c r="E165" s="7">
        <f>IFERROR(_xlfn.XLOOKUP(A165,'Food Database'!A:A,'Food Database'!C:C)*B165,"")</f>
        <v>0</v>
      </c>
    </row>
    <row r="166" spans="3:5" x14ac:dyDescent="0.2">
      <c r="C166" s="4"/>
      <c r="D166" s="6" t="str">
        <f>IFERROR(_xlfn.XLOOKUP(A166,'Food Database'!A:A,'Food Database'!B:B)*B166,"")</f>
        <v/>
      </c>
      <c r="E166" s="7">
        <f>IFERROR(_xlfn.XLOOKUP(A166,'Food Database'!A:A,'Food Database'!C:C)*B166,"")</f>
        <v>0</v>
      </c>
    </row>
    <row r="167" spans="3:5" x14ac:dyDescent="0.2">
      <c r="C167" s="4"/>
      <c r="D167" s="6" t="str">
        <f>IFERROR(_xlfn.XLOOKUP(A167,'Food Database'!A:A,'Food Database'!B:B)*B167,"")</f>
        <v/>
      </c>
      <c r="E167" s="7">
        <f>IFERROR(_xlfn.XLOOKUP(A167,'Food Database'!A:A,'Food Database'!C:C)*B167,"")</f>
        <v>0</v>
      </c>
    </row>
    <row r="168" spans="3:5" x14ac:dyDescent="0.2">
      <c r="C168" s="4"/>
      <c r="D168" s="6" t="str">
        <f>IFERROR(_xlfn.XLOOKUP(A168,'Food Database'!A:A,'Food Database'!B:B)*B168,"")</f>
        <v/>
      </c>
      <c r="E168" s="7">
        <f>IFERROR(_xlfn.XLOOKUP(A168,'Food Database'!A:A,'Food Database'!C:C)*B168,"")</f>
        <v>0</v>
      </c>
    </row>
    <row r="169" spans="3:5" x14ac:dyDescent="0.2">
      <c r="C169" s="4"/>
      <c r="D169" s="6" t="str">
        <f>IFERROR(_xlfn.XLOOKUP(A169,'Food Database'!A:A,'Food Database'!B:B)*B169,"")</f>
        <v/>
      </c>
      <c r="E169" s="7">
        <f>IFERROR(_xlfn.XLOOKUP(A169,'Food Database'!A:A,'Food Database'!C:C)*B169,"")</f>
        <v>0</v>
      </c>
    </row>
    <row r="170" spans="3:5" x14ac:dyDescent="0.2">
      <c r="C170" s="4"/>
      <c r="D170" s="6" t="str">
        <f>IFERROR(_xlfn.XLOOKUP(A170,'Food Database'!A:A,'Food Database'!B:B)*B170,"")</f>
        <v/>
      </c>
      <c r="E170" s="7">
        <f>IFERROR(_xlfn.XLOOKUP(A170,'Food Database'!A:A,'Food Database'!C:C)*B170,"")</f>
        <v>0</v>
      </c>
    </row>
    <row r="171" spans="3:5" x14ac:dyDescent="0.2">
      <c r="C171" s="4"/>
      <c r="D171" s="6" t="str">
        <f>IFERROR(_xlfn.XLOOKUP(A171,'Food Database'!A:A,'Food Database'!B:B)*B171,"")</f>
        <v/>
      </c>
      <c r="E171" s="7">
        <f>IFERROR(_xlfn.XLOOKUP(A171,'Food Database'!A:A,'Food Database'!C:C)*B171,"")</f>
        <v>0</v>
      </c>
    </row>
    <row r="172" spans="3:5" x14ac:dyDescent="0.2">
      <c r="C172" s="4"/>
      <c r="D172" s="6" t="str">
        <f>IFERROR(_xlfn.XLOOKUP(A172,'Food Database'!A:A,'Food Database'!B:B)*B172,"")</f>
        <v/>
      </c>
      <c r="E172" s="7">
        <f>IFERROR(_xlfn.XLOOKUP(A172,'Food Database'!A:A,'Food Database'!C:C)*B172,"")</f>
        <v>0</v>
      </c>
    </row>
    <row r="173" spans="3:5" x14ac:dyDescent="0.2">
      <c r="C173" s="4"/>
      <c r="D173" s="6" t="str">
        <f>IFERROR(_xlfn.XLOOKUP(A173,'Food Database'!A:A,'Food Database'!B:B)*B173,"")</f>
        <v/>
      </c>
      <c r="E173" s="7">
        <f>IFERROR(_xlfn.XLOOKUP(A173,'Food Database'!A:A,'Food Database'!C:C)*B173,"")</f>
        <v>0</v>
      </c>
    </row>
    <row r="174" spans="3:5" x14ac:dyDescent="0.2">
      <c r="C174" s="4"/>
      <c r="D174" s="6" t="str">
        <f>IFERROR(_xlfn.XLOOKUP(A174,'Food Database'!A:A,'Food Database'!B:B)*B174,"")</f>
        <v/>
      </c>
      <c r="E174" s="7">
        <f>IFERROR(_xlfn.XLOOKUP(A174,'Food Database'!A:A,'Food Database'!C:C)*B174,"")</f>
        <v>0</v>
      </c>
    </row>
    <row r="175" spans="3:5" x14ac:dyDescent="0.2">
      <c r="C175" s="4"/>
      <c r="D175" s="6" t="str">
        <f>IFERROR(_xlfn.XLOOKUP(A175,'Food Database'!A:A,'Food Database'!B:B)*B175,"")</f>
        <v/>
      </c>
      <c r="E175" s="7">
        <f>IFERROR(_xlfn.XLOOKUP(A175,'Food Database'!A:A,'Food Database'!C:C)*B175,"")</f>
        <v>0</v>
      </c>
    </row>
    <row r="176" spans="3:5" x14ac:dyDescent="0.2">
      <c r="C176" s="4"/>
      <c r="D176" s="6" t="str">
        <f>IFERROR(_xlfn.XLOOKUP(A176,'Food Database'!A:A,'Food Database'!B:B)*B176,"")</f>
        <v/>
      </c>
      <c r="E176" s="7">
        <f>IFERROR(_xlfn.XLOOKUP(A176,'Food Database'!A:A,'Food Database'!C:C)*B176,"")</f>
        <v>0</v>
      </c>
    </row>
    <row r="177" spans="3:5" x14ac:dyDescent="0.2">
      <c r="C177" s="4"/>
      <c r="D177" s="6" t="str">
        <f>IFERROR(_xlfn.XLOOKUP(A177,'Food Database'!A:A,'Food Database'!B:B)*B177,"")</f>
        <v/>
      </c>
      <c r="E177" s="7">
        <f>IFERROR(_xlfn.XLOOKUP(A177,'Food Database'!A:A,'Food Database'!C:C)*B177,"")</f>
        <v>0</v>
      </c>
    </row>
    <row r="178" spans="3:5" x14ac:dyDescent="0.2">
      <c r="C178" s="4"/>
      <c r="D178" s="6" t="str">
        <f>IFERROR(_xlfn.XLOOKUP(A178,'Food Database'!A:A,'Food Database'!B:B)*B178,"")</f>
        <v/>
      </c>
      <c r="E178" s="7">
        <f>IFERROR(_xlfn.XLOOKUP(A178,'Food Database'!A:A,'Food Database'!C:C)*B178,"")</f>
        <v>0</v>
      </c>
    </row>
    <row r="179" spans="3:5" x14ac:dyDescent="0.2">
      <c r="C179" s="4"/>
      <c r="D179" s="6" t="str">
        <f>IFERROR(_xlfn.XLOOKUP(A179,'Food Database'!A:A,'Food Database'!B:B)*B179,"")</f>
        <v/>
      </c>
      <c r="E179" s="7">
        <f>IFERROR(_xlfn.XLOOKUP(A179,'Food Database'!A:A,'Food Database'!C:C)*B179,"")</f>
        <v>0</v>
      </c>
    </row>
    <row r="180" spans="3:5" x14ac:dyDescent="0.2">
      <c r="C180" s="4"/>
      <c r="D180" s="6" t="str">
        <f>IFERROR(_xlfn.XLOOKUP(A180,'Food Database'!A:A,'Food Database'!B:B)*B180,"")</f>
        <v/>
      </c>
      <c r="E180" s="7">
        <f>IFERROR(_xlfn.XLOOKUP(A180,'Food Database'!A:A,'Food Database'!C:C)*B180,"")</f>
        <v>0</v>
      </c>
    </row>
    <row r="181" spans="3:5" x14ac:dyDescent="0.2">
      <c r="C181" s="4"/>
      <c r="D181" s="6" t="str">
        <f>IFERROR(_xlfn.XLOOKUP(A181,'Food Database'!A:A,'Food Database'!B:B)*B181,"")</f>
        <v/>
      </c>
      <c r="E181" s="7">
        <f>IFERROR(_xlfn.XLOOKUP(A181,'Food Database'!A:A,'Food Database'!C:C)*B181,"")</f>
        <v>0</v>
      </c>
    </row>
    <row r="182" spans="3:5" x14ac:dyDescent="0.2">
      <c r="C182" s="4"/>
      <c r="D182" s="6" t="str">
        <f>IFERROR(_xlfn.XLOOKUP(A182,'Food Database'!A:A,'Food Database'!B:B)*B182,"")</f>
        <v/>
      </c>
      <c r="E182" s="7">
        <f>IFERROR(_xlfn.XLOOKUP(A182,'Food Database'!A:A,'Food Database'!C:C)*B182,"")</f>
        <v>0</v>
      </c>
    </row>
    <row r="183" spans="3:5" x14ac:dyDescent="0.2">
      <c r="C183" s="4"/>
      <c r="D183" s="6" t="str">
        <f>IFERROR(_xlfn.XLOOKUP(A183,'Food Database'!A:A,'Food Database'!B:B)*B183,"")</f>
        <v/>
      </c>
      <c r="E183" s="7">
        <f>IFERROR(_xlfn.XLOOKUP(A183,'Food Database'!A:A,'Food Database'!C:C)*B183,"")</f>
        <v>0</v>
      </c>
    </row>
    <row r="184" spans="3:5" x14ac:dyDescent="0.2">
      <c r="C184" s="4"/>
      <c r="D184" s="6" t="str">
        <f>IFERROR(_xlfn.XLOOKUP(A184,'Food Database'!A:A,'Food Database'!B:B)*B184,"")</f>
        <v/>
      </c>
      <c r="E184" s="7">
        <f>IFERROR(_xlfn.XLOOKUP(A184,'Food Database'!A:A,'Food Database'!C:C)*B184,"")</f>
        <v>0</v>
      </c>
    </row>
    <row r="185" spans="3:5" x14ac:dyDescent="0.2">
      <c r="C185" s="4"/>
      <c r="D185" s="6" t="str">
        <f>IFERROR(_xlfn.XLOOKUP(A185,'Food Database'!A:A,'Food Database'!B:B)*B185,"")</f>
        <v/>
      </c>
      <c r="E185" s="7">
        <f>IFERROR(_xlfn.XLOOKUP(A185,'Food Database'!A:A,'Food Database'!C:C)*B185,"")</f>
        <v>0</v>
      </c>
    </row>
    <row r="186" spans="3:5" x14ac:dyDescent="0.2">
      <c r="C186" s="4"/>
      <c r="D186" s="6" t="str">
        <f>IFERROR(_xlfn.XLOOKUP(A186,'Food Database'!A:A,'Food Database'!B:B)*B186,"")</f>
        <v/>
      </c>
      <c r="E186" s="7">
        <f>IFERROR(_xlfn.XLOOKUP(A186,'Food Database'!A:A,'Food Database'!C:C)*B186,"")</f>
        <v>0</v>
      </c>
    </row>
    <row r="187" spans="3:5" x14ac:dyDescent="0.2">
      <c r="C187" s="4"/>
      <c r="D187" s="6" t="str">
        <f>IFERROR(_xlfn.XLOOKUP(A187,'Food Database'!A:A,'Food Database'!B:B)*B187,"")</f>
        <v/>
      </c>
      <c r="E187" s="7">
        <f>IFERROR(_xlfn.XLOOKUP(A187,'Food Database'!A:A,'Food Database'!C:C)*B187,"")</f>
        <v>0</v>
      </c>
    </row>
    <row r="188" spans="3:5" x14ac:dyDescent="0.2">
      <c r="C188" s="4"/>
      <c r="D188" s="6" t="str">
        <f>IFERROR(_xlfn.XLOOKUP(A188,'Food Database'!A:A,'Food Database'!B:B)*B188,"")</f>
        <v/>
      </c>
      <c r="E188" s="7">
        <f>IFERROR(_xlfn.XLOOKUP(A188,'Food Database'!A:A,'Food Database'!C:C)*B188,"")</f>
        <v>0</v>
      </c>
    </row>
    <row r="189" spans="3:5" x14ac:dyDescent="0.2">
      <c r="C189" s="4"/>
      <c r="D189" s="6" t="str">
        <f>IFERROR(_xlfn.XLOOKUP(A189,'Food Database'!A:A,'Food Database'!B:B)*B189,"")</f>
        <v/>
      </c>
      <c r="E189" s="7">
        <f>IFERROR(_xlfn.XLOOKUP(A189,'Food Database'!A:A,'Food Database'!C:C)*B189,"")</f>
        <v>0</v>
      </c>
    </row>
    <row r="190" spans="3:5" x14ac:dyDescent="0.2">
      <c r="C190" s="4"/>
      <c r="D190" s="6" t="str">
        <f>IFERROR(_xlfn.XLOOKUP(A190,'Food Database'!A:A,'Food Database'!B:B)*B190,"")</f>
        <v/>
      </c>
      <c r="E190" s="7">
        <f>IFERROR(_xlfn.XLOOKUP(A190,'Food Database'!A:A,'Food Database'!C:C)*B190,"")</f>
        <v>0</v>
      </c>
    </row>
    <row r="191" spans="3:5" x14ac:dyDescent="0.2">
      <c r="C191" s="4"/>
      <c r="D191" s="6" t="str">
        <f>IFERROR(_xlfn.XLOOKUP(A191,'Food Database'!A:A,'Food Database'!B:B)*B191,"")</f>
        <v/>
      </c>
      <c r="E191" s="7">
        <f>IFERROR(_xlfn.XLOOKUP(A191,'Food Database'!A:A,'Food Database'!C:C)*B191,"")</f>
        <v>0</v>
      </c>
    </row>
    <row r="192" spans="3:5" x14ac:dyDescent="0.2">
      <c r="C192" s="4"/>
      <c r="D192" s="6" t="str">
        <f>IFERROR(_xlfn.XLOOKUP(A192,'Food Database'!A:A,'Food Database'!B:B)*B192,"")</f>
        <v/>
      </c>
      <c r="E192" s="7">
        <f>IFERROR(_xlfn.XLOOKUP(A192,'Food Database'!A:A,'Food Database'!C:C)*B192,"")</f>
        <v>0</v>
      </c>
    </row>
    <row r="193" spans="3:5" x14ac:dyDescent="0.2">
      <c r="C193" s="4"/>
      <c r="D193" s="6" t="str">
        <f>IFERROR(_xlfn.XLOOKUP(A193,'Food Database'!A:A,'Food Database'!B:B)*B193,"")</f>
        <v/>
      </c>
      <c r="E193" s="7">
        <f>IFERROR(_xlfn.XLOOKUP(A193,'Food Database'!A:A,'Food Database'!C:C)*B193,"")</f>
        <v>0</v>
      </c>
    </row>
    <row r="194" spans="3:5" x14ac:dyDescent="0.2">
      <c r="C194" s="4"/>
      <c r="D194" s="6" t="str">
        <f>IFERROR(_xlfn.XLOOKUP(A194,'Food Database'!A:A,'Food Database'!B:B)*B194,"")</f>
        <v/>
      </c>
      <c r="E194" s="7">
        <f>IFERROR(_xlfn.XLOOKUP(A194,'Food Database'!A:A,'Food Database'!C:C)*B194,"")</f>
        <v>0</v>
      </c>
    </row>
    <row r="195" spans="3:5" x14ac:dyDescent="0.2">
      <c r="C195" s="4"/>
      <c r="D195" s="6" t="str">
        <f>IFERROR(_xlfn.XLOOKUP(A195,'Food Database'!A:A,'Food Database'!B:B)*B195,"")</f>
        <v/>
      </c>
      <c r="E195" s="7">
        <f>IFERROR(_xlfn.XLOOKUP(A195,'Food Database'!A:A,'Food Database'!C:C)*B195,"")</f>
        <v>0</v>
      </c>
    </row>
    <row r="196" spans="3:5" x14ac:dyDescent="0.2">
      <c r="C196" s="4"/>
      <c r="D196" s="6" t="str">
        <f>IFERROR(_xlfn.XLOOKUP(A196,'Food Database'!A:A,'Food Database'!B:B)*B196,"")</f>
        <v/>
      </c>
      <c r="E196" s="7">
        <f>IFERROR(_xlfn.XLOOKUP(A196,'Food Database'!A:A,'Food Database'!C:C)*B196,"")</f>
        <v>0</v>
      </c>
    </row>
    <row r="197" spans="3:5" x14ac:dyDescent="0.2">
      <c r="C197" s="4"/>
      <c r="D197" s="6" t="str">
        <f>IFERROR(_xlfn.XLOOKUP(A197,'Food Database'!A:A,'Food Database'!B:B)*B197,"")</f>
        <v/>
      </c>
      <c r="E197" s="7">
        <f>IFERROR(_xlfn.XLOOKUP(A197,'Food Database'!A:A,'Food Database'!C:C)*B197,"")</f>
        <v>0</v>
      </c>
    </row>
    <row r="198" spans="3:5" x14ac:dyDescent="0.2">
      <c r="C198" s="4"/>
      <c r="D198" s="6" t="str">
        <f>IFERROR(_xlfn.XLOOKUP(A198,'Food Database'!A:A,'Food Database'!B:B)*B198,"")</f>
        <v/>
      </c>
      <c r="E198" s="7">
        <f>IFERROR(_xlfn.XLOOKUP(A198,'Food Database'!A:A,'Food Database'!C:C)*B198,"")</f>
        <v>0</v>
      </c>
    </row>
    <row r="199" spans="3:5" x14ac:dyDescent="0.2">
      <c r="C199" s="4"/>
      <c r="D199" s="6" t="str">
        <f>IFERROR(_xlfn.XLOOKUP(A199,'Food Database'!A:A,'Food Database'!B:B)*B199,"")</f>
        <v/>
      </c>
      <c r="E199" s="7">
        <f>IFERROR(_xlfn.XLOOKUP(A199,'Food Database'!A:A,'Food Database'!C:C)*B199,"")</f>
        <v>0</v>
      </c>
    </row>
    <row r="200" spans="3:5" x14ac:dyDescent="0.2">
      <c r="C200" s="4"/>
      <c r="D200" s="6" t="str">
        <f>IFERROR(_xlfn.XLOOKUP(A200,'Food Database'!A:A,'Food Database'!B:B)*B200,"")</f>
        <v/>
      </c>
      <c r="E200" s="7">
        <f>IFERROR(_xlfn.XLOOKUP(A200,'Food Database'!A:A,'Food Database'!C:C)*B200,"")</f>
        <v>0</v>
      </c>
    </row>
    <row r="201" spans="3:5" x14ac:dyDescent="0.2">
      <c r="C201" s="4"/>
      <c r="D201" s="6" t="str">
        <f>IFERROR(_xlfn.XLOOKUP(A201,'Food Database'!A:A,'Food Database'!B:B)*B201,"")</f>
        <v/>
      </c>
      <c r="E201" s="7">
        <f>IFERROR(_xlfn.XLOOKUP(A201,'Food Database'!A:A,'Food Database'!C:C)*B201,"")</f>
        <v>0</v>
      </c>
    </row>
    <row r="202" spans="3:5" x14ac:dyDescent="0.2">
      <c r="C202" s="4"/>
      <c r="D202" s="6" t="str">
        <f>IFERROR(_xlfn.XLOOKUP(A202,'Food Database'!A:A,'Food Database'!B:B)*B202,"")</f>
        <v/>
      </c>
      <c r="E202" s="7">
        <f>IFERROR(_xlfn.XLOOKUP(A202,'Food Database'!A:A,'Food Database'!C:C)*B202,"")</f>
        <v>0</v>
      </c>
    </row>
    <row r="203" spans="3:5" x14ac:dyDescent="0.2">
      <c r="C203" s="4"/>
      <c r="D203" s="6" t="str">
        <f>IFERROR(_xlfn.XLOOKUP(A203,'Food Database'!A:A,'Food Database'!B:B)*B203,"")</f>
        <v/>
      </c>
      <c r="E203" s="7">
        <f>IFERROR(_xlfn.XLOOKUP(A203,'Food Database'!A:A,'Food Database'!C:C)*B203,"")</f>
        <v>0</v>
      </c>
    </row>
    <row r="204" spans="3:5" x14ac:dyDescent="0.2">
      <c r="C204" s="4"/>
      <c r="D204" s="6" t="str">
        <f>IFERROR(_xlfn.XLOOKUP(A204,'Food Database'!A:A,'Food Database'!B:B)*B204,"")</f>
        <v/>
      </c>
      <c r="E204" s="7">
        <f>IFERROR(_xlfn.XLOOKUP(A204,'Food Database'!A:A,'Food Database'!C:C)*B204,"")</f>
        <v>0</v>
      </c>
    </row>
    <row r="205" spans="3:5" x14ac:dyDescent="0.2">
      <c r="C205" s="4"/>
      <c r="D205" s="6" t="str">
        <f>IFERROR(_xlfn.XLOOKUP(A205,'Food Database'!A:A,'Food Database'!B:B)*B205,"")</f>
        <v/>
      </c>
      <c r="E205" s="7">
        <f>IFERROR(_xlfn.XLOOKUP(A205,'Food Database'!A:A,'Food Database'!C:C)*B205,"")</f>
        <v>0</v>
      </c>
    </row>
    <row r="206" spans="3:5" x14ac:dyDescent="0.2">
      <c r="C206" s="4"/>
      <c r="D206" s="6" t="str">
        <f>IFERROR(_xlfn.XLOOKUP(A206,'Food Database'!A:A,'Food Database'!B:B)*B206,"")</f>
        <v/>
      </c>
      <c r="E206" s="7">
        <f>IFERROR(_xlfn.XLOOKUP(A206,'Food Database'!A:A,'Food Database'!C:C)*B206,"")</f>
        <v>0</v>
      </c>
    </row>
    <row r="207" spans="3:5" x14ac:dyDescent="0.2">
      <c r="C207" s="4"/>
      <c r="D207" s="6" t="str">
        <f>IFERROR(_xlfn.XLOOKUP(A207,'Food Database'!A:A,'Food Database'!B:B)*B207,"")</f>
        <v/>
      </c>
      <c r="E207" s="7">
        <f>IFERROR(_xlfn.XLOOKUP(A207,'Food Database'!A:A,'Food Database'!C:C)*B207,"")</f>
        <v>0</v>
      </c>
    </row>
    <row r="208" spans="3:5" x14ac:dyDescent="0.2">
      <c r="C208" s="4"/>
      <c r="D208" s="6" t="str">
        <f>IFERROR(_xlfn.XLOOKUP(A208,'Food Database'!A:A,'Food Database'!B:B)*B208,"")</f>
        <v/>
      </c>
      <c r="E208" s="7">
        <f>IFERROR(_xlfn.XLOOKUP(A208,'Food Database'!A:A,'Food Database'!C:C)*B208,"")</f>
        <v>0</v>
      </c>
    </row>
    <row r="209" spans="3:5" x14ac:dyDescent="0.2">
      <c r="C209" s="4"/>
      <c r="D209" s="6" t="str">
        <f>IFERROR(_xlfn.XLOOKUP(A209,'Food Database'!A:A,'Food Database'!B:B)*B209,"")</f>
        <v/>
      </c>
      <c r="E209" s="7">
        <f>IFERROR(_xlfn.XLOOKUP(A209,'Food Database'!A:A,'Food Database'!C:C)*B209,"")</f>
        <v>0</v>
      </c>
    </row>
    <row r="210" spans="3:5" x14ac:dyDescent="0.2">
      <c r="C210" s="4"/>
      <c r="D210" s="6" t="str">
        <f>IFERROR(_xlfn.XLOOKUP(A210,'Food Database'!A:A,'Food Database'!B:B)*B210,"")</f>
        <v/>
      </c>
      <c r="E210" s="7">
        <f>IFERROR(_xlfn.XLOOKUP(A210,'Food Database'!A:A,'Food Database'!C:C)*B210,"")</f>
        <v>0</v>
      </c>
    </row>
    <row r="211" spans="3:5" x14ac:dyDescent="0.2">
      <c r="C211" s="4"/>
      <c r="D211" s="6" t="str">
        <f>IFERROR(_xlfn.XLOOKUP(A211,'Food Database'!A:A,'Food Database'!B:B)*B211,"")</f>
        <v/>
      </c>
      <c r="E211" s="7">
        <f>IFERROR(_xlfn.XLOOKUP(A211,'Food Database'!A:A,'Food Database'!C:C)*B211,"")</f>
        <v>0</v>
      </c>
    </row>
    <row r="212" spans="3:5" x14ac:dyDescent="0.2">
      <c r="C212" s="4"/>
      <c r="D212" s="6" t="str">
        <f>IFERROR(_xlfn.XLOOKUP(A212,'Food Database'!A:A,'Food Database'!B:B)*B212,"")</f>
        <v/>
      </c>
      <c r="E212" s="7">
        <f>IFERROR(_xlfn.XLOOKUP(A212,'Food Database'!A:A,'Food Database'!C:C)*B212,"")</f>
        <v>0</v>
      </c>
    </row>
    <row r="213" spans="3:5" x14ac:dyDescent="0.2">
      <c r="C213" s="4"/>
      <c r="D213" s="6" t="str">
        <f>IFERROR(_xlfn.XLOOKUP(A213,'Food Database'!A:A,'Food Database'!B:B)*B213,"")</f>
        <v/>
      </c>
      <c r="E213" s="7">
        <f>IFERROR(_xlfn.XLOOKUP(A213,'Food Database'!A:A,'Food Database'!C:C)*B213,"")</f>
        <v>0</v>
      </c>
    </row>
    <row r="214" spans="3:5" x14ac:dyDescent="0.2">
      <c r="C214" s="4"/>
      <c r="D214" s="6" t="str">
        <f>IFERROR(_xlfn.XLOOKUP(A214,'Food Database'!A:A,'Food Database'!B:B)*B214,"")</f>
        <v/>
      </c>
      <c r="E214" s="7">
        <f>IFERROR(_xlfn.XLOOKUP(A214,'Food Database'!A:A,'Food Database'!C:C)*B214,"")</f>
        <v>0</v>
      </c>
    </row>
    <row r="215" spans="3:5" x14ac:dyDescent="0.2">
      <c r="C215" s="4"/>
      <c r="D215" s="6" t="str">
        <f>IFERROR(_xlfn.XLOOKUP(A215,'Food Database'!A:A,'Food Database'!B:B)*B215,"")</f>
        <v/>
      </c>
      <c r="E215" s="7">
        <f>IFERROR(_xlfn.XLOOKUP(A215,'Food Database'!A:A,'Food Database'!C:C)*B215,"")</f>
        <v>0</v>
      </c>
    </row>
    <row r="216" spans="3:5" x14ac:dyDescent="0.2">
      <c r="C216" s="4"/>
      <c r="D216" s="6" t="str">
        <f>IFERROR(_xlfn.XLOOKUP(A216,'Food Database'!A:A,'Food Database'!B:B)*B216,"")</f>
        <v/>
      </c>
      <c r="E216" s="7">
        <f>IFERROR(_xlfn.XLOOKUP(A216,'Food Database'!A:A,'Food Database'!C:C)*B216,"")</f>
        <v>0</v>
      </c>
    </row>
    <row r="217" spans="3:5" x14ac:dyDescent="0.2">
      <c r="C217" s="4"/>
      <c r="D217" s="6" t="str">
        <f>IFERROR(_xlfn.XLOOKUP(A217,'Food Database'!A:A,'Food Database'!B:B)*B217,"")</f>
        <v/>
      </c>
      <c r="E217" s="7">
        <f>IFERROR(_xlfn.XLOOKUP(A217,'Food Database'!A:A,'Food Database'!C:C)*B217,"")</f>
        <v>0</v>
      </c>
    </row>
    <row r="218" spans="3:5" x14ac:dyDescent="0.2">
      <c r="C218" s="4"/>
      <c r="D218" s="6" t="str">
        <f>IFERROR(_xlfn.XLOOKUP(A218,'Food Database'!A:A,'Food Database'!B:B)*B218,"")</f>
        <v/>
      </c>
      <c r="E218" s="7">
        <f>IFERROR(_xlfn.XLOOKUP(A218,'Food Database'!A:A,'Food Database'!C:C)*B218,"")</f>
        <v>0</v>
      </c>
    </row>
    <row r="219" spans="3:5" x14ac:dyDescent="0.2">
      <c r="C219" s="4"/>
      <c r="D219" s="6" t="str">
        <f>IFERROR(_xlfn.XLOOKUP(A219,'Food Database'!A:A,'Food Database'!B:B)*B219,"")</f>
        <v/>
      </c>
      <c r="E219" s="7">
        <f>IFERROR(_xlfn.XLOOKUP(A219,'Food Database'!A:A,'Food Database'!C:C)*B219,"")</f>
        <v>0</v>
      </c>
    </row>
    <row r="220" spans="3:5" x14ac:dyDescent="0.2">
      <c r="C220" s="4"/>
      <c r="D220" s="6" t="str">
        <f>IFERROR(_xlfn.XLOOKUP(A220,'Food Database'!A:A,'Food Database'!B:B)*B220,"")</f>
        <v/>
      </c>
      <c r="E220" s="7">
        <f>IFERROR(_xlfn.XLOOKUP(A220,'Food Database'!A:A,'Food Database'!C:C)*B220,"")</f>
        <v>0</v>
      </c>
    </row>
    <row r="221" spans="3:5" x14ac:dyDescent="0.2">
      <c r="C221" s="4"/>
      <c r="D221" s="6" t="str">
        <f>IFERROR(_xlfn.XLOOKUP(A221,'Food Database'!A:A,'Food Database'!B:B)*B221,"")</f>
        <v/>
      </c>
      <c r="E221" s="7">
        <f>IFERROR(_xlfn.XLOOKUP(A221,'Food Database'!A:A,'Food Database'!C:C)*B221,"")</f>
        <v>0</v>
      </c>
    </row>
    <row r="222" spans="3:5" x14ac:dyDescent="0.2">
      <c r="C222" s="4"/>
      <c r="D222" s="6" t="str">
        <f>IFERROR(_xlfn.XLOOKUP(A222,'Food Database'!A:A,'Food Database'!B:B)*B222,"")</f>
        <v/>
      </c>
      <c r="E222" s="7">
        <f>IFERROR(_xlfn.XLOOKUP(A222,'Food Database'!A:A,'Food Database'!C:C)*B222,"")</f>
        <v>0</v>
      </c>
    </row>
    <row r="223" spans="3:5" x14ac:dyDescent="0.2">
      <c r="C223" s="4"/>
      <c r="D223" s="6" t="str">
        <f>IFERROR(_xlfn.XLOOKUP(A223,'Food Database'!A:A,'Food Database'!B:B)*B223,"")</f>
        <v/>
      </c>
      <c r="E223" s="7">
        <f>IFERROR(_xlfn.XLOOKUP(A223,'Food Database'!A:A,'Food Database'!C:C)*B223,"")</f>
        <v>0</v>
      </c>
    </row>
    <row r="224" spans="3:5" x14ac:dyDescent="0.2">
      <c r="C224" s="4"/>
      <c r="D224" s="6" t="str">
        <f>IFERROR(_xlfn.XLOOKUP(A224,'Food Database'!A:A,'Food Database'!B:B)*B224,"")</f>
        <v/>
      </c>
      <c r="E224" s="7">
        <f>IFERROR(_xlfn.XLOOKUP(A224,'Food Database'!A:A,'Food Database'!C:C)*B224,"")</f>
        <v>0</v>
      </c>
    </row>
    <row r="225" spans="3:5" x14ac:dyDescent="0.2">
      <c r="C225" s="4"/>
      <c r="D225" s="6" t="str">
        <f>IFERROR(_xlfn.XLOOKUP(A225,'Food Database'!A:A,'Food Database'!B:B)*B225,"")</f>
        <v/>
      </c>
      <c r="E225" s="7">
        <f>IFERROR(_xlfn.XLOOKUP(A225,'Food Database'!A:A,'Food Database'!C:C)*B225,"")</f>
        <v>0</v>
      </c>
    </row>
    <row r="226" spans="3:5" x14ac:dyDescent="0.2">
      <c r="C226" s="4"/>
      <c r="D226" s="6" t="str">
        <f>IFERROR(_xlfn.XLOOKUP(A226,'Food Database'!A:A,'Food Database'!B:B)*B226,"")</f>
        <v/>
      </c>
      <c r="E226" s="7">
        <f>IFERROR(_xlfn.XLOOKUP(A226,'Food Database'!A:A,'Food Database'!C:C)*B226,"")</f>
        <v>0</v>
      </c>
    </row>
    <row r="227" spans="3:5" x14ac:dyDescent="0.2">
      <c r="C227" s="4"/>
      <c r="D227" s="6" t="str">
        <f>IFERROR(_xlfn.XLOOKUP(A227,'Food Database'!A:A,'Food Database'!B:B)*B227,"")</f>
        <v/>
      </c>
      <c r="E227" s="7">
        <f>IFERROR(_xlfn.XLOOKUP(A227,'Food Database'!A:A,'Food Database'!C:C)*B227,"")</f>
        <v>0</v>
      </c>
    </row>
    <row r="228" spans="3:5" x14ac:dyDescent="0.2">
      <c r="C228" s="4"/>
      <c r="D228" s="6" t="str">
        <f>IFERROR(_xlfn.XLOOKUP(A228,'Food Database'!A:A,'Food Database'!B:B)*B228,"")</f>
        <v/>
      </c>
      <c r="E228" s="7">
        <f>IFERROR(_xlfn.XLOOKUP(A228,'Food Database'!A:A,'Food Database'!C:C)*B228,"")</f>
        <v>0</v>
      </c>
    </row>
    <row r="229" spans="3:5" x14ac:dyDescent="0.2">
      <c r="C229" s="4"/>
      <c r="D229" s="6" t="str">
        <f>IFERROR(_xlfn.XLOOKUP(A229,'Food Database'!A:A,'Food Database'!B:B)*B229,"")</f>
        <v/>
      </c>
      <c r="E229" s="7">
        <f>IFERROR(_xlfn.XLOOKUP(A229,'Food Database'!A:A,'Food Database'!C:C)*B229,"")</f>
        <v>0</v>
      </c>
    </row>
    <row r="230" spans="3:5" x14ac:dyDescent="0.2">
      <c r="C230" s="4"/>
      <c r="D230" s="6" t="str">
        <f>IFERROR(_xlfn.XLOOKUP(A230,'Food Database'!A:A,'Food Database'!B:B)*B230,"")</f>
        <v/>
      </c>
      <c r="E230" s="7">
        <f>IFERROR(_xlfn.XLOOKUP(A230,'Food Database'!A:A,'Food Database'!C:C)*B230,"")</f>
        <v>0</v>
      </c>
    </row>
    <row r="231" spans="3:5" x14ac:dyDescent="0.2">
      <c r="C231" s="4"/>
      <c r="D231" s="6" t="str">
        <f>IFERROR(_xlfn.XLOOKUP(A231,'Food Database'!A:A,'Food Database'!B:B)*B231,"")</f>
        <v/>
      </c>
      <c r="E231" s="7">
        <f>IFERROR(_xlfn.XLOOKUP(A231,'Food Database'!A:A,'Food Database'!C:C)*B231,"")</f>
        <v>0</v>
      </c>
    </row>
    <row r="232" spans="3:5" x14ac:dyDescent="0.2">
      <c r="C232" s="4"/>
      <c r="D232" s="6" t="str">
        <f>IFERROR(_xlfn.XLOOKUP(A232,'Food Database'!A:A,'Food Database'!B:B)*B232,"")</f>
        <v/>
      </c>
      <c r="E232" s="7">
        <f>IFERROR(_xlfn.XLOOKUP(A232,'Food Database'!A:A,'Food Database'!C:C)*B232,"")</f>
        <v>0</v>
      </c>
    </row>
    <row r="233" spans="3:5" x14ac:dyDescent="0.2">
      <c r="C233" s="4"/>
      <c r="D233" s="6" t="str">
        <f>IFERROR(_xlfn.XLOOKUP(A233,'Food Database'!A:A,'Food Database'!B:B)*B233,"")</f>
        <v/>
      </c>
      <c r="E233" s="7">
        <f>IFERROR(_xlfn.XLOOKUP(A233,'Food Database'!A:A,'Food Database'!C:C)*B233,"")</f>
        <v>0</v>
      </c>
    </row>
    <row r="234" spans="3:5" x14ac:dyDescent="0.2">
      <c r="C234" s="4"/>
      <c r="D234" s="6" t="str">
        <f>IFERROR(_xlfn.XLOOKUP(A234,'Food Database'!A:A,'Food Database'!B:B)*B234,"")</f>
        <v/>
      </c>
      <c r="E234" s="7">
        <f>IFERROR(_xlfn.XLOOKUP(A234,'Food Database'!A:A,'Food Database'!C:C)*B234,"")</f>
        <v>0</v>
      </c>
    </row>
    <row r="235" spans="3:5" x14ac:dyDescent="0.2">
      <c r="C235" s="4"/>
      <c r="D235" s="6" t="str">
        <f>IFERROR(_xlfn.XLOOKUP(A235,'Food Database'!A:A,'Food Database'!B:B)*B235,"")</f>
        <v/>
      </c>
      <c r="E235" s="7">
        <f>IFERROR(_xlfn.XLOOKUP(A235,'Food Database'!A:A,'Food Database'!C:C)*B235,"")</f>
        <v>0</v>
      </c>
    </row>
    <row r="236" spans="3:5" x14ac:dyDescent="0.2">
      <c r="C236" s="4"/>
      <c r="D236" s="6" t="str">
        <f>IFERROR(_xlfn.XLOOKUP(A236,'Food Database'!A:A,'Food Database'!B:B)*B236,"")</f>
        <v/>
      </c>
      <c r="E236" s="7">
        <f>IFERROR(_xlfn.XLOOKUP(A236,'Food Database'!A:A,'Food Database'!C:C)*B236,"")</f>
        <v>0</v>
      </c>
    </row>
    <row r="237" spans="3:5" x14ac:dyDescent="0.2">
      <c r="C237" s="4"/>
      <c r="D237" s="6" t="str">
        <f>IFERROR(_xlfn.XLOOKUP(A237,'Food Database'!A:A,'Food Database'!B:B)*B237,"")</f>
        <v/>
      </c>
      <c r="E237" s="7">
        <f>IFERROR(_xlfn.XLOOKUP(A237,'Food Database'!A:A,'Food Database'!C:C)*B237,"")</f>
        <v>0</v>
      </c>
    </row>
    <row r="238" spans="3:5" x14ac:dyDescent="0.2">
      <c r="C238" s="4"/>
      <c r="D238" s="6" t="str">
        <f>IFERROR(_xlfn.XLOOKUP(A238,'Food Database'!A:A,'Food Database'!B:B)*B238,"")</f>
        <v/>
      </c>
      <c r="E238" s="7">
        <f>IFERROR(_xlfn.XLOOKUP(A238,'Food Database'!A:A,'Food Database'!C:C)*B238,"")</f>
        <v>0</v>
      </c>
    </row>
    <row r="239" spans="3:5" x14ac:dyDescent="0.2">
      <c r="C239" s="4"/>
      <c r="D239" s="6" t="str">
        <f>IFERROR(_xlfn.XLOOKUP(A239,'Food Database'!A:A,'Food Database'!B:B)*B239,"")</f>
        <v/>
      </c>
      <c r="E239" s="7">
        <f>IFERROR(_xlfn.XLOOKUP(A239,'Food Database'!A:A,'Food Database'!C:C)*B239,"")</f>
        <v>0</v>
      </c>
    </row>
    <row r="240" spans="3:5" x14ac:dyDescent="0.2">
      <c r="C240" s="4"/>
      <c r="D240" s="6" t="str">
        <f>IFERROR(_xlfn.XLOOKUP(A240,'Food Database'!A:A,'Food Database'!B:B)*B240,"")</f>
        <v/>
      </c>
      <c r="E240" s="7">
        <f>IFERROR(_xlfn.XLOOKUP(A240,'Food Database'!A:A,'Food Database'!C:C)*B240,"")</f>
        <v>0</v>
      </c>
    </row>
    <row r="241" spans="3:5" x14ac:dyDescent="0.2">
      <c r="C241" s="4"/>
      <c r="D241" s="6" t="str">
        <f>IFERROR(_xlfn.XLOOKUP(A241,'Food Database'!A:A,'Food Database'!B:B)*B241,"")</f>
        <v/>
      </c>
      <c r="E241" s="7">
        <f>IFERROR(_xlfn.XLOOKUP(A241,'Food Database'!A:A,'Food Database'!C:C)*B241,"")</f>
        <v>0</v>
      </c>
    </row>
    <row r="242" spans="3:5" x14ac:dyDescent="0.2">
      <c r="C242" s="4"/>
      <c r="D242" s="6" t="str">
        <f>IFERROR(_xlfn.XLOOKUP(A242,'Food Database'!A:A,'Food Database'!B:B)*B242,"")</f>
        <v/>
      </c>
      <c r="E242" s="7">
        <f>IFERROR(_xlfn.XLOOKUP(A242,'Food Database'!A:A,'Food Database'!C:C)*B242,"")</f>
        <v>0</v>
      </c>
    </row>
    <row r="243" spans="3:5" x14ac:dyDescent="0.2">
      <c r="C243" s="4"/>
      <c r="D243" s="6" t="str">
        <f>IFERROR(_xlfn.XLOOKUP(A243,'Food Database'!A:A,'Food Database'!B:B)*B243,"")</f>
        <v/>
      </c>
      <c r="E243" s="7">
        <f>IFERROR(_xlfn.XLOOKUP(A243,'Food Database'!A:A,'Food Database'!C:C)*B243,"")</f>
        <v>0</v>
      </c>
    </row>
    <row r="244" spans="3:5" x14ac:dyDescent="0.2">
      <c r="C244" s="4"/>
      <c r="D244" s="6" t="str">
        <f>IFERROR(_xlfn.XLOOKUP(A244,'Food Database'!A:A,'Food Database'!B:B)*B244,"")</f>
        <v/>
      </c>
      <c r="E244" s="7">
        <f>IFERROR(_xlfn.XLOOKUP(A244,'Food Database'!A:A,'Food Database'!C:C)*B244,"")</f>
        <v>0</v>
      </c>
    </row>
    <row r="245" spans="3:5" x14ac:dyDescent="0.2">
      <c r="C245" s="4"/>
      <c r="D245" s="6" t="str">
        <f>IFERROR(_xlfn.XLOOKUP(A245,'Food Database'!A:A,'Food Database'!B:B)*B245,"")</f>
        <v/>
      </c>
      <c r="E245" s="7">
        <f>IFERROR(_xlfn.XLOOKUP(A245,'Food Database'!A:A,'Food Database'!C:C)*B245,"")</f>
        <v>0</v>
      </c>
    </row>
    <row r="246" spans="3:5" x14ac:dyDescent="0.2">
      <c r="C246" s="4"/>
      <c r="D246" s="6" t="str">
        <f>IFERROR(_xlfn.XLOOKUP(A246,'Food Database'!A:A,'Food Database'!B:B)*B246,"")</f>
        <v/>
      </c>
      <c r="E246" s="7">
        <f>IFERROR(_xlfn.XLOOKUP(A246,'Food Database'!A:A,'Food Database'!C:C)*B246,"")</f>
        <v>0</v>
      </c>
    </row>
    <row r="247" spans="3:5" x14ac:dyDescent="0.2">
      <c r="C247" s="4"/>
      <c r="D247" s="6" t="str">
        <f>IFERROR(_xlfn.XLOOKUP(A247,'Food Database'!A:A,'Food Database'!B:B)*B247,"")</f>
        <v/>
      </c>
      <c r="E247" s="7">
        <f>IFERROR(_xlfn.XLOOKUP(A247,'Food Database'!A:A,'Food Database'!C:C)*B247,"")</f>
        <v>0</v>
      </c>
    </row>
    <row r="248" spans="3:5" x14ac:dyDescent="0.2">
      <c r="C248" s="4"/>
      <c r="D248" s="6" t="str">
        <f>IFERROR(_xlfn.XLOOKUP(A248,'Food Database'!A:A,'Food Database'!B:B)*B248,"")</f>
        <v/>
      </c>
      <c r="E248" s="7">
        <f>IFERROR(_xlfn.XLOOKUP(A248,'Food Database'!A:A,'Food Database'!C:C)*B248,"")</f>
        <v>0</v>
      </c>
    </row>
    <row r="249" spans="3:5" x14ac:dyDescent="0.2">
      <c r="C249" s="4"/>
      <c r="D249" s="6" t="str">
        <f>IFERROR(_xlfn.XLOOKUP(A249,'Food Database'!A:A,'Food Database'!B:B)*B249,"")</f>
        <v/>
      </c>
      <c r="E249" s="7">
        <f>IFERROR(_xlfn.XLOOKUP(A249,'Food Database'!A:A,'Food Database'!C:C)*B249,"")</f>
        <v>0</v>
      </c>
    </row>
    <row r="250" spans="3:5" x14ac:dyDescent="0.2">
      <c r="C250" s="4"/>
      <c r="D250" s="6" t="str">
        <f>IFERROR(_xlfn.XLOOKUP(A250,'Food Database'!A:A,'Food Database'!B:B)*B250,"")</f>
        <v/>
      </c>
      <c r="E250" s="7">
        <f>IFERROR(_xlfn.XLOOKUP(A250,'Food Database'!A:A,'Food Database'!C:C)*B250,"")</f>
        <v>0</v>
      </c>
    </row>
    <row r="251" spans="3:5" x14ac:dyDescent="0.2">
      <c r="C251" s="4"/>
      <c r="D251" s="6" t="str">
        <f>IFERROR(_xlfn.XLOOKUP(A251,'Food Database'!A:A,'Food Database'!B:B)*B251,"")</f>
        <v/>
      </c>
      <c r="E251" s="7">
        <f>IFERROR(_xlfn.XLOOKUP(A251,'Food Database'!A:A,'Food Database'!C:C)*B251,"")</f>
        <v>0</v>
      </c>
    </row>
    <row r="252" spans="3:5" x14ac:dyDescent="0.2">
      <c r="C252" s="4"/>
      <c r="D252" s="6" t="str">
        <f>IFERROR(_xlfn.XLOOKUP(A252,'Food Database'!A:A,'Food Database'!B:B)*B252,"")</f>
        <v/>
      </c>
      <c r="E252" s="7">
        <f>IFERROR(_xlfn.XLOOKUP(A252,'Food Database'!A:A,'Food Database'!C:C)*B252,"")</f>
        <v>0</v>
      </c>
    </row>
    <row r="253" spans="3:5" x14ac:dyDescent="0.2">
      <c r="C253" s="4"/>
      <c r="D253" s="6" t="str">
        <f>IFERROR(_xlfn.XLOOKUP(A253,'Food Database'!A:A,'Food Database'!B:B)*B253,"")</f>
        <v/>
      </c>
      <c r="E253" s="7">
        <f>IFERROR(_xlfn.XLOOKUP(A253,'Food Database'!A:A,'Food Database'!C:C)*B253,"")</f>
        <v>0</v>
      </c>
    </row>
    <row r="254" spans="3:5" x14ac:dyDescent="0.2">
      <c r="C254" s="4"/>
      <c r="D254" s="6" t="str">
        <f>IFERROR(_xlfn.XLOOKUP(A254,'Food Database'!A:A,'Food Database'!B:B)*B254,"")</f>
        <v/>
      </c>
      <c r="E254" s="7">
        <f>IFERROR(_xlfn.XLOOKUP(A254,'Food Database'!A:A,'Food Database'!C:C)*B254,"")</f>
        <v>0</v>
      </c>
    </row>
    <row r="255" spans="3:5" x14ac:dyDescent="0.2">
      <c r="C255" s="4"/>
      <c r="D255" s="6" t="str">
        <f>IFERROR(_xlfn.XLOOKUP(A255,'Food Database'!A:A,'Food Database'!B:B)*B255,"")</f>
        <v/>
      </c>
      <c r="E255" s="7">
        <f>IFERROR(_xlfn.XLOOKUP(A255,'Food Database'!A:A,'Food Database'!C:C)*B255,"")</f>
        <v>0</v>
      </c>
    </row>
    <row r="256" spans="3:5" x14ac:dyDescent="0.2">
      <c r="C256" s="4"/>
      <c r="D256" s="6" t="str">
        <f>IFERROR(_xlfn.XLOOKUP(A256,'Food Database'!A:A,'Food Database'!B:B)*B256,"")</f>
        <v/>
      </c>
      <c r="E256" s="7">
        <f>IFERROR(_xlfn.XLOOKUP(A256,'Food Database'!A:A,'Food Database'!C:C)*B256,"")</f>
        <v>0</v>
      </c>
    </row>
    <row r="257" spans="3:5" x14ac:dyDescent="0.2">
      <c r="C257" s="4"/>
      <c r="D257" s="6" t="str">
        <f>IFERROR(_xlfn.XLOOKUP(A257,'Food Database'!A:A,'Food Database'!B:B)*B257,"")</f>
        <v/>
      </c>
      <c r="E257" s="7">
        <f>IFERROR(_xlfn.XLOOKUP(A257,'Food Database'!A:A,'Food Database'!C:C)*B257,"")</f>
        <v>0</v>
      </c>
    </row>
    <row r="258" spans="3:5" x14ac:dyDescent="0.2">
      <c r="C258" s="4"/>
      <c r="D258" s="6" t="str">
        <f>IFERROR(_xlfn.XLOOKUP(A258,'Food Database'!A:A,'Food Database'!B:B)*B258,"")</f>
        <v/>
      </c>
      <c r="E258" s="7">
        <f>IFERROR(_xlfn.XLOOKUP(A258,'Food Database'!A:A,'Food Database'!C:C)*B258,"")</f>
        <v>0</v>
      </c>
    </row>
    <row r="259" spans="3:5" x14ac:dyDescent="0.2">
      <c r="C259" s="4"/>
      <c r="D259" s="6" t="str">
        <f>IFERROR(_xlfn.XLOOKUP(A259,'Food Database'!A:A,'Food Database'!B:B)*B259,"")</f>
        <v/>
      </c>
      <c r="E259" s="7">
        <f>IFERROR(_xlfn.XLOOKUP(A259,'Food Database'!A:A,'Food Database'!C:C)*B259,"")</f>
        <v>0</v>
      </c>
    </row>
    <row r="260" spans="3:5" x14ac:dyDescent="0.2">
      <c r="C260" s="4"/>
      <c r="D260" s="6" t="str">
        <f>IFERROR(_xlfn.XLOOKUP(A260,'Food Database'!A:A,'Food Database'!B:B)*B260,"")</f>
        <v/>
      </c>
      <c r="E260" s="7">
        <f>IFERROR(_xlfn.XLOOKUP(A260,'Food Database'!A:A,'Food Database'!C:C)*B260,"")</f>
        <v>0</v>
      </c>
    </row>
    <row r="261" spans="3:5" x14ac:dyDescent="0.2">
      <c r="C261" s="4"/>
      <c r="D261" s="6" t="str">
        <f>IFERROR(_xlfn.XLOOKUP(A261,'Food Database'!A:A,'Food Database'!B:B)*B261,"")</f>
        <v/>
      </c>
      <c r="E261" s="7">
        <f>IFERROR(_xlfn.XLOOKUP(A261,'Food Database'!A:A,'Food Database'!C:C)*B261,"")</f>
        <v>0</v>
      </c>
    </row>
    <row r="262" spans="3:5" x14ac:dyDescent="0.2">
      <c r="C262" s="4"/>
      <c r="D262" s="6" t="str">
        <f>IFERROR(_xlfn.XLOOKUP(A262,'Food Database'!A:A,'Food Database'!B:B)*B262,"")</f>
        <v/>
      </c>
      <c r="E262" s="7">
        <f>IFERROR(_xlfn.XLOOKUP(A262,'Food Database'!A:A,'Food Database'!C:C)*B262,"")</f>
        <v>0</v>
      </c>
    </row>
    <row r="263" spans="3:5" x14ac:dyDescent="0.2">
      <c r="C263" s="4"/>
      <c r="D263" s="6" t="str">
        <f>IFERROR(_xlfn.XLOOKUP(A263,'Food Database'!A:A,'Food Database'!B:B)*B263,"")</f>
        <v/>
      </c>
      <c r="E263" s="7">
        <f>IFERROR(_xlfn.XLOOKUP(A263,'Food Database'!A:A,'Food Database'!C:C)*B263,"")</f>
        <v>0</v>
      </c>
    </row>
    <row r="264" spans="3:5" x14ac:dyDescent="0.2">
      <c r="C264" s="4"/>
      <c r="D264" s="6" t="str">
        <f>IFERROR(_xlfn.XLOOKUP(A264,'Food Database'!A:A,'Food Database'!B:B)*B264,"")</f>
        <v/>
      </c>
      <c r="E264" s="7">
        <f>IFERROR(_xlfn.XLOOKUP(A264,'Food Database'!A:A,'Food Database'!C:C)*B264,"")</f>
        <v>0</v>
      </c>
    </row>
    <row r="265" spans="3:5" x14ac:dyDescent="0.2">
      <c r="C265" s="4"/>
      <c r="D265" s="6" t="str">
        <f>IFERROR(_xlfn.XLOOKUP(A265,'Food Database'!A:A,'Food Database'!B:B)*B265,"")</f>
        <v/>
      </c>
      <c r="E265" s="7">
        <f>IFERROR(_xlfn.XLOOKUP(A265,'Food Database'!A:A,'Food Database'!C:C)*B265,"")</f>
        <v>0</v>
      </c>
    </row>
    <row r="266" spans="3:5" x14ac:dyDescent="0.2">
      <c r="C266" s="4"/>
      <c r="D266" s="6" t="str">
        <f>IFERROR(_xlfn.XLOOKUP(A266,'Food Database'!A:A,'Food Database'!B:B)*B266,"")</f>
        <v/>
      </c>
      <c r="E266" s="7">
        <f>IFERROR(_xlfn.XLOOKUP(A266,'Food Database'!A:A,'Food Database'!C:C)*B266,"")</f>
        <v>0</v>
      </c>
    </row>
    <row r="267" spans="3:5" x14ac:dyDescent="0.2">
      <c r="C267" s="4"/>
      <c r="D267" s="6" t="str">
        <f>IFERROR(_xlfn.XLOOKUP(A267,'Food Database'!A:A,'Food Database'!B:B)*B267,"")</f>
        <v/>
      </c>
      <c r="E267" s="7">
        <f>IFERROR(_xlfn.XLOOKUP(A267,'Food Database'!A:A,'Food Database'!C:C)*B267,"")</f>
        <v>0</v>
      </c>
    </row>
    <row r="268" spans="3:5" x14ac:dyDescent="0.2">
      <c r="C268" s="4"/>
      <c r="D268" s="6" t="str">
        <f>IFERROR(_xlfn.XLOOKUP(A268,'Food Database'!A:A,'Food Database'!B:B)*B268,"")</f>
        <v/>
      </c>
      <c r="E268" s="7">
        <f>IFERROR(_xlfn.XLOOKUP(A268,'Food Database'!A:A,'Food Database'!C:C)*B268,"")</f>
        <v>0</v>
      </c>
    </row>
    <row r="269" spans="3:5" x14ac:dyDescent="0.2">
      <c r="C269" s="4"/>
      <c r="D269" s="6" t="str">
        <f>IFERROR(_xlfn.XLOOKUP(A269,'Food Database'!A:A,'Food Database'!B:B)*B269,"")</f>
        <v/>
      </c>
      <c r="E269" s="7">
        <f>IFERROR(_xlfn.XLOOKUP(A269,'Food Database'!A:A,'Food Database'!C:C)*B269,"")</f>
        <v>0</v>
      </c>
    </row>
    <row r="270" spans="3:5" x14ac:dyDescent="0.2">
      <c r="C270" s="4"/>
      <c r="D270" s="6" t="str">
        <f>IFERROR(_xlfn.XLOOKUP(A270,'Food Database'!A:A,'Food Database'!B:B)*B270,"")</f>
        <v/>
      </c>
      <c r="E270" s="7">
        <f>IFERROR(_xlfn.XLOOKUP(A270,'Food Database'!A:A,'Food Database'!C:C)*B270,"")</f>
        <v>0</v>
      </c>
    </row>
    <row r="271" spans="3:5" x14ac:dyDescent="0.2">
      <c r="C271" s="4"/>
      <c r="D271" s="6" t="str">
        <f>IFERROR(_xlfn.XLOOKUP(A271,'Food Database'!A:A,'Food Database'!B:B)*B271,"")</f>
        <v/>
      </c>
      <c r="E271" s="7">
        <f>IFERROR(_xlfn.XLOOKUP(A271,'Food Database'!A:A,'Food Database'!C:C)*B271,"")</f>
        <v>0</v>
      </c>
    </row>
    <row r="272" spans="3:5" x14ac:dyDescent="0.2">
      <c r="C272" s="4"/>
      <c r="D272" s="6" t="str">
        <f>IFERROR(_xlfn.XLOOKUP(A272,'Food Database'!A:A,'Food Database'!B:B)*B272,"")</f>
        <v/>
      </c>
      <c r="E272" s="7">
        <f>IFERROR(_xlfn.XLOOKUP(A272,'Food Database'!A:A,'Food Database'!C:C)*B272,"")</f>
        <v>0</v>
      </c>
    </row>
    <row r="273" spans="3:5" x14ac:dyDescent="0.2">
      <c r="C273" s="4"/>
      <c r="D273" s="6" t="str">
        <f>IFERROR(_xlfn.XLOOKUP(A273,'Food Database'!A:A,'Food Database'!B:B)*B273,"")</f>
        <v/>
      </c>
      <c r="E273" s="7">
        <f>IFERROR(_xlfn.XLOOKUP(A273,'Food Database'!A:A,'Food Database'!C:C)*B273,"")</f>
        <v>0</v>
      </c>
    </row>
    <row r="274" spans="3:5" x14ac:dyDescent="0.2">
      <c r="C274" s="4"/>
      <c r="D274" s="6" t="str">
        <f>IFERROR(_xlfn.XLOOKUP(A274,'Food Database'!A:A,'Food Database'!B:B)*B274,"")</f>
        <v/>
      </c>
      <c r="E274" s="7">
        <f>IFERROR(_xlfn.XLOOKUP(A274,'Food Database'!A:A,'Food Database'!C:C)*B274,"")</f>
        <v>0</v>
      </c>
    </row>
    <row r="275" spans="3:5" x14ac:dyDescent="0.2">
      <c r="C275" s="4"/>
      <c r="D275" s="6" t="str">
        <f>IFERROR(_xlfn.XLOOKUP(A275,'Food Database'!A:A,'Food Database'!B:B)*B275,"")</f>
        <v/>
      </c>
      <c r="E275" s="7">
        <f>IFERROR(_xlfn.XLOOKUP(A275,'Food Database'!A:A,'Food Database'!C:C)*B275,"")</f>
        <v>0</v>
      </c>
    </row>
    <row r="276" spans="3:5" x14ac:dyDescent="0.2">
      <c r="C276" s="4"/>
      <c r="D276" s="6" t="str">
        <f>IFERROR(_xlfn.XLOOKUP(A276,'Food Database'!A:A,'Food Database'!B:B)*B276,"")</f>
        <v/>
      </c>
      <c r="E276" s="7">
        <f>IFERROR(_xlfn.XLOOKUP(A276,'Food Database'!A:A,'Food Database'!C:C)*B276,"")</f>
        <v>0</v>
      </c>
    </row>
    <row r="277" spans="3:5" x14ac:dyDescent="0.2">
      <c r="C277" s="4"/>
      <c r="D277" s="6" t="str">
        <f>IFERROR(_xlfn.XLOOKUP(A277,'Food Database'!A:A,'Food Database'!B:B)*B277,"")</f>
        <v/>
      </c>
      <c r="E277" s="7">
        <f>IFERROR(_xlfn.XLOOKUP(A277,'Food Database'!A:A,'Food Database'!C:C)*B277,"")</f>
        <v>0</v>
      </c>
    </row>
    <row r="278" spans="3:5" x14ac:dyDescent="0.2">
      <c r="C278" s="4"/>
      <c r="D278" s="6" t="str">
        <f>IFERROR(_xlfn.XLOOKUP(A278,'Food Database'!A:A,'Food Database'!B:B)*B278,"")</f>
        <v/>
      </c>
      <c r="E278" s="7">
        <f>IFERROR(_xlfn.XLOOKUP(A278,'Food Database'!A:A,'Food Database'!C:C)*B278,"")</f>
        <v>0</v>
      </c>
    </row>
    <row r="279" spans="3:5" x14ac:dyDescent="0.2">
      <c r="C279" s="4"/>
      <c r="D279" s="6" t="str">
        <f>IFERROR(_xlfn.XLOOKUP(A279,'Food Database'!A:A,'Food Database'!B:B)*B279,"")</f>
        <v/>
      </c>
      <c r="E279" s="7">
        <f>IFERROR(_xlfn.XLOOKUP(A279,'Food Database'!A:A,'Food Database'!C:C)*B279,"")</f>
        <v>0</v>
      </c>
    </row>
    <row r="280" spans="3:5" x14ac:dyDescent="0.2">
      <c r="C280" s="4"/>
      <c r="D280" s="6" t="str">
        <f>IFERROR(_xlfn.XLOOKUP(A280,'Food Database'!A:A,'Food Database'!B:B)*B280,"")</f>
        <v/>
      </c>
      <c r="E280" s="7">
        <f>IFERROR(_xlfn.XLOOKUP(A280,'Food Database'!A:A,'Food Database'!C:C)*B280,"")</f>
        <v>0</v>
      </c>
    </row>
    <row r="281" spans="3:5" x14ac:dyDescent="0.2">
      <c r="C281" s="4"/>
      <c r="D281" s="6" t="str">
        <f>IFERROR(_xlfn.XLOOKUP(A281,'Food Database'!A:A,'Food Database'!B:B)*B281,"")</f>
        <v/>
      </c>
      <c r="E281" s="7">
        <f>IFERROR(_xlfn.XLOOKUP(A281,'Food Database'!A:A,'Food Database'!C:C)*B281,"")</f>
        <v>0</v>
      </c>
    </row>
    <row r="282" spans="3:5" x14ac:dyDescent="0.2">
      <c r="C282" s="4"/>
      <c r="D282" s="6" t="str">
        <f>IFERROR(_xlfn.XLOOKUP(A282,'Food Database'!A:A,'Food Database'!B:B)*B282,"")</f>
        <v/>
      </c>
      <c r="E282" s="7">
        <f>IFERROR(_xlfn.XLOOKUP(A282,'Food Database'!A:A,'Food Database'!C:C)*B282,"")</f>
        <v>0</v>
      </c>
    </row>
    <row r="283" spans="3:5" x14ac:dyDescent="0.2">
      <c r="C283" s="4"/>
      <c r="D283" s="6" t="str">
        <f>IFERROR(_xlfn.XLOOKUP(A283,'Food Database'!A:A,'Food Database'!B:B)*B283,"")</f>
        <v/>
      </c>
      <c r="E283" s="7">
        <f>IFERROR(_xlfn.XLOOKUP(A283,'Food Database'!A:A,'Food Database'!C:C)*B283,"")</f>
        <v>0</v>
      </c>
    </row>
    <row r="284" spans="3:5" x14ac:dyDescent="0.2">
      <c r="C284" s="4"/>
      <c r="D284" s="6" t="str">
        <f>IFERROR(_xlfn.XLOOKUP(A284,'Food Database'!A:A,'Food Database'!B:B)*B284,"")</f>
        <v/>
      </c>
      <c r="E284" s="7">
        <f>IFERROR(_xlfn.XLOOKUP(A284,'Food Database'!A:A,'Food Database'!C:C)*B284,"")</f>
        <v>0</v>
      </c>
    </row>
    <row r="285" spans="3:5" x14ac:dyDescent="0.2">
      <c r="C285" s="4"/>
      <c r="D285" s="6" t="str">
        <f>IFERROR(_xlfn.XLOOKUP(A285,'Food Database'!A:A,'Food Database'!B:B)*B285,"")</f>
        <v/>
      </c>
      <c r="E285" s="7">
        <f>IFERROR(_xlfn.XLOOKUP(A285,'Food Database'!A:A,'Food Database'!C:C)*B285,"")</f>
        <v>0</v>
      </c>
    </row>
    <row r="286" spans="3:5" x14ac:dyDescent="0.2">
      <c r="C286" s="4"/>
      <c r="D286" s="6" t="str">
        <f>IFERROR(_xlfn.XLOOKUP(A286,'Food Database'!A:A,'Food Database'!B:B)*B286,"")</f>
        <v/>
      </c>
      <c r="E286" s="7">
        <f>IFERROR(_xlfn.XLOOKUP(A286,'Food Database'!A:A,'Food Database'!C:C)*B286,"")</f>
        <v>0</v>
      </c>
    </row>
    <row r="287" spans="3:5" x14ac:dyDescent="0.2">
      <c r="C287" s="4"/>
      <c r="D287" s="6" t="str">
        <f>IFERROR(_xlfn.XLOOKUP(A287,'Food Database'!A:A,'Food Database'!B:B)*B287,"")</f>
        <v/>
      </c>
      <c r="E287" s="7">
        <f>IFERROR(_xlfn.XLOOKUP(A287,'Food Database'!A:A,'Food Database'!C:C)*B287,"")</f>
        <v>0</v>
      </c>
    </row>
    <row r="288" spans="3:5" x14ac:dyDescent="0.2">
      <c r="C288" s="4"/>
      <c r="D288" s="6" t="str">
        <f>IFERROR(_xlfn.XLOOKUP(A288,'Food Database'!A:A,'Food Database'!B:B)*B288,"")</f>
        <v/>
      </c>
      <c r="E288" s="7">
        <f>IFERROR(_xlfn.XLOOKUP(A288,'Food Database'!A:A,'Food Database'!C:C)*B288,"")</f>
        <v>0</v>
      </c>
    </row>
    <row r="289" spans="3:5" x14ac:dyDescent="0.2">
      <c r="C289" s="4"/>
      <c r="D289" s="6" t="str">
        <f>IFERROR(_xlfn.XLOOKUP(A289,'Food Database'!A:A,'Food Database'!B:B)*B289,"")</f>
        <v/>
      </c>
      <c r="E289" s="7">
        <f>IFERROR(_xlfn.XLOOKUP(A289,'Food Database'!A:A,'Food Database'!C:C)*B289,"")</f>
        <v>0</v>
      </c>
    </row>
    <row r="290" spans="3:5" x14ac:dyDescent="0.2">
      <c r="C290" s="4"/>
      <c r="D290" s="6" t="str">
        <f>IFERROR(_xlfn.XLOOKUP(A290,'Food Database'!A:A,'Food Database'!B:B)*B290,"")</f>
        <v/>
      </c>
      <c r="E290" s="7">
        <f>IFERROR(_xlfn.XLOOKUP(A290,'Food Database'!A:A,'Food Database'!C:C)*B290,"")</f>
        <v>0</v>
      </c>
    </row>
    <row r="291" spans="3:5" x14ac:dyDescent="0.2">
      <c r="C291" s="4"/>
      <c r="D291" s="6" t="str">
        <f>IFERROR(_xlfn.XLOOKUP(A291,'Food Database'!A:A,'Food Database'!B:B)*B291,"")</f>
        <v/>
      </c>
      <c r="E291" s="7">
        <f>IFERROR(_xlfn.XLOOKUP(A291,'Food Database'!A:A,'Food Database'!C:C)*B291,"")</f>
        <v>0</v>
      </c>
    </row>
    <row r="292" spans="3:5" x14ac:dyDescent="0.2">
      <c r="C292" s="4"/>
      <c r="D292" s="6" t="str">
        <f>IFERROR(_xlfn.XLOOKUP(A292,'Food Database'!A:A,'Food Database'!B:B)*B292,"")</f>
        <v/>
      </c>
      <c r="E292" s="7">
        <f>IFERROR(_xlfn.XLOOKUP(A292,'Food Database'!A:A,'Food Database'!C:C)*B292,"")</f>
        <v>0</v>
      </c>
    </row>
    <row r="293" spans="3:5" x14ac:dyDescent="0.2">
      <c r="C293" s="4"/>
      <c r="D293" s="6" t="str">
        <f>IFERROR(_xlfn.XLOOKUP(A293,'Food Database'!A:A,'Food Database'!B:B)*B293,"")</f>
        <v/>
      </c>
      <c r="E293" s="7">
        <f>IFERROR(_xlfn.XLOOKUP(A293,'Food Database'!A:A,'Food Database'!C:C)*B293,"")</f>
        <v>0</v>
      </c>
    </row>
    <row r="294" spans="3:5" x14ac:dyDescent="0.2">
      <c r="C294" s="4"/>
      <c r="D294" s="6" t="str">
        <f>IFERROR(_xlfn.XLOOKUP(A294,'Food Database'!A:A,'Food Database'!B:B)*B294,"")</f>
        <v/>
      </c>
      <c r="E294" s="7">
        <f>IFERROR(_xlfn.XLOOKUP(A294,'Food Database'!A:A,'Food Database'!C:C)*B294,"")</f>
        <v>0</v>
      </c>
    </row>
    <row r="295" spans="3:5" x14ac:dyDescent="0.2">
      <c r="C295" s="4"/>
      <c r="D295" s="6" t="str">
        <f>IFERROR(_xlfn.XLOOKUP(A295,'Food Database'!A:A,'Food Database'!B:B)*B295,"")</f>
        <v/>
      </c>
      <c r="E295" s="7">
        <f>IFERROR(_xlfn.XLOOKUP(A295,'Food Database'!A:A,'Food Database'!C:C)*B295,"")</f>
        <v>0</v>
      </c>
    </row>
    <row r="296" spans="3:5" x14ac:dyDescent="0.2">
      <c r="C296" s="4"/>
      <c r="D296" s="6" t="str">
        <f>IFERROR(_xlfn.XLOOKUP(A296,'Food Database'!A:A,'Food Database'!B:B)*B296,"")</f>
        <v/>
      </c>
      <c r="E296" s="7">
        <f>IFERROR(_xlfn.XLOOKUP(A296,'Food Database'!A:A,'Food Database'!C:C)*B296,"")</f>
        <v>0</v>
      </c>
    </row>
    <row r="297" spans="3:5" x14ac:dyDescent="0.2">
      <c r="C297" s="4"/>
      <c r="D297" s="6" t="str">
        <f>IFERROR(_xlfn.XLOOKUP(A297,'Food Database'!A:A,'Food Database'!B:B)*B297,"")</f>
        <v/>
      </c>
      <c r="E297" s="7">
        <f>IFERROR(_xlfn.XLOOKUP(A297,'Food Database'!A:A,'Food Database'!C:C)*B297,"")</f>
        <v>0</v>
      </c>
    </row>
    <row r="298" spans="3:5" x14ac:dyDescent="0.2">
      <c r="C298" s="4"/>
      <c r="D298" s="6" t="str">
        <f>IFERROR(_xlfn.XLOOKUP(A298,'Food Database'!A:A,'Food Database'!B:B)*B298,"")</f>
        <v/>
      </c>
      <c r="E298" s="7">
        <f>IFERROR(_xlfn.XLOOKUP(A298,'Food Database'!A:A,'Food Database'!C:C)*B298,"")</f>
        <v>0</v>
      </c>
    </row>
    <row r="299" spans="3:5" x14ac:dyDescent="0.2">
      <c r="C299" s="4"/>
      <c r="D299" s="6" t="str">
        <f>IFERROR(_xlfn.XLOOKUP(A299,'Food Database'!A:A,'Food Database'!B:B)*B299,"")</f>
        <v/>
      </c>
      <c r="E299" s="7">
        <f>IFERROR(_xlfn.XLOOKUP(A299,'Food Database'!A:A,'Food Database'!C:C)*B299,"")</f>
        <v>0</v>
      </c>
    </row>
    <row r="300" spans="3:5" x14ac:dyDescent="0.2">
      <c r="C300" s="4"/>
      <c r="D300" s="6" t="str">
        <f>IFERROR(_xlfn.XLOOKUP(A300,'Food Database'!A:A,'Food Database'!B:B)*B300,"")</f>
        <v/>
      </c>
      <c r="E300" s="7">
        <f>IFERROR(_xlfn.XLOOKUP(A300,'Food Database'!A:A,'Food Database'!C:C)*B300,"")</f>
        <v>0</v>
      </c>
    </row>
    <row r="301" spans="3:5" x14ac:dyDescent="0.2">
      <c r="C301" s="4"/>
      <c r="D301" s="6" t="str">
        <f>IFERROR(_xlfn.XLOOKUP(A301,'Food Database'!A:A,'Food Database'!B:B)*B301,"")</f>
        <v/>
      </c>
      <c r="E301" s="7">
        <f>IFERROR(_xlfn.XLOOKUP(A301,'Food Database'!A:A,'Food Database'!C:C)*B301,"")</f>
        <v>0</v>
      </c>
    </row>
    <row r="302" spans="3:5" x14ac:dyDescent="0.2">
      <c r="C302" s="4"/>
      <c r="D302" s="6" t="str">
        <f>IFERROR(_xlfn.XLOOKUP(A302,'Food Database'!A:A,'Food Database'!B:B)*B302,"")</f>
        <v/>
      </c>
      <c r="E302" s="7">
        <f>IFERROR(_xlfn.XLOOKUP(A302,'Food Database'!A:A,'Food Database'!C:C)*B302,"")</f>
        <v>0</v>
      </c>
    </row>
    <row r="303" spans="3:5" x14ac:dyDescent="0.2">
      <c r="C303" s="4"/>
      <c r="D303" s="6" t="str">
        <f>IFERROR(_xlfn.XLOOKUP(A303,'Food Database'!A:A,'Food Database'!B:B)*B303,"")</f>
        <v/>
      </c>
      <c r="E303" s="7">
        <f>IFERROR(_xlfn.XLOOKUP(A303,'Food Database'!A:A,'Food Database'!C:C)*B303,"")</f>
        <v>0</v>
      </c>
    </row>
    <row r="304" spans="3:5" x14ac:dyDescent="0.2">
      <c r="C304" s="4"/>
      <c r="D304" s="6" t="str">
        <f>IFERROR(_xlfn.XLOOKUP(A304,'Food Database'!A:A,'Food Database'!B:B)*B304,"")</f>
        <v/>
      </c>
      <c r="E304" s="7">
        <f>IFERROR(_xlfn.XLOOKUP(A304,'Food Database'!A:A,'Food Database'!C:C)*B304,"")</f>
        <v>0</v>
      </c>
    </row>
    <row r="305" spans="3:5" x14ac:dyDescent="0.2">
      <c r="C305" s="4"/>
      <c r="D305" s="6" t="str">
        <f>IFERROR(_xlfn.XLOOKUP(A305,'Food Database'!A:A,'Food Database'!B:B)*B305,"")</f>
        <v/>
      </c>
      <c r="E305" s="7">
        <f>IFERROR(_xlfn.XLOOKUP(A305,'Food Database'!A:A,'Food Database'!C:C)*B305,"")</f>
        <v>0</v>
      </c>
    </row>
    <row r="306" spans="3:5" x14ac:dyDescent="0.2">
      <c r="C306" s="4"/>
      <c r="D306" s="6" t="str">
        <f>IFERROR(_xlfn.XLOOKUP(A306,'Food Database'!A:A,'Food Database'!B:B)*B306,"")</f>
        <v/>
      </c>
      <c r="E306" s="7">
        <f>IFERROR(_xlfn.XLOOKUP(A306,'Food Database'!A:A,'Food Database'!C:C)*B306,"")</f>
        <v>0</v>
      </c>
    </row>
    <row r="307" spans="3:5" x14ac:dyDescent="0.2">
      <c r="C307" s="4"/>
      <c r="D307" s="6" t="str">
        <f>IFERROR(_xlfn.XLOOKUP(A307,'Food Database'!A:A,'Food Database'!B:B)*B307,"")</f>
        <v/>
      </c>
      <c r="E307" s="7">
        <f>IFERROR(_xlfn.XLOOKUP(A307,'Food Database'!A:A,'Food Database'!C:C)*B307,"")</f>
        <v>0</v>
      </c>
    </row>
    <row r="308" spans="3:5" x14ac:dyDescent="0.2">
      <c r="C308" s="4"/>
      <c r="D308" s="6" t="str">
        <f>IFERROR(_xlfn.XLOOKUP(A308,'Food Database'!A:A,'Food Database'!B:B)*B308,"")</f>
        <v/>
      </c>
      <c r="E308" s="7">
        <f>IFERROR(_xlfn.XLOOKUP(A308,'Food Database'!A:A,'Food Database'!C:C)*B308,"")</f>
        <v>0</v>
      </c>
    </row>
    <row r="309" spans="3:5" x14ac:dyDescent="0.2">
      <c r="C309" s="4"/>
      <c r="D309" s="6" t="str">
        <f>IFERROR(_xlfn.XLOOKUP(A309,'Food Database'!A:A,'Food Database'!B:B)*B309,"")</f>
        <v/>
      </c>
      <c r="E309" s="7">
        <f>IFERROR(_xlfn.XLOOKUP(A309,'Food Database'!A:A,'Food Database'!C:C)*B309,"")</f>
        <v>0</v>
      </c>
    </row>
    <row r="310" spans="3:5" x14ac:dyDescent="0.2">
      <c r="C310" s="4"/>
      <c r="D310" s="6" t="str">
        <f>IFERROR(_xlfn.XLOOKUP(A310,'Food Database'!A:A,'Food Database'!B:B)*B310,"")</f>
        <v/>
      </c>
      <c r="E310" s="7">
        <f>IFERROR(_xlfn.XLOOKUP(A310,'Food Database'!A:A,'Food Database'!C:C)*B310,"")</f>
        <v>0</v>
      </c>
    </row>
    <row r="311" spans="3:5" x14ac:dyDescent="0.2">
      <c r="C311" s="4"/>
      <c r="D311" s="6" t="str">
        <f>IFERROR(_xlfn.XLOOKUP(A311,'Food Database'!A:A,'Food Database'!B:B)*B311,"")</f>
        <v/>
      </c>
      <c r="E311" s="7">
        <f>IFERROR(_xlfn.XLOOKUP(A311,'Food Database'!A:A,'Food Database'!C:C)*B311,"")</f>
        <v>0</v>
      </c>
    </row>
    <row r="312" spans="3:5" x14ac:dyDescent="0.2">
      <c r="C312" s="4"/>
      <c r="D312" s="6" t="str">
        <f>IFERROR(_xlfn.XLOOKUP(A312,'Food Database'!A:A,'Food Database'!B:B)*B312,"")</f>
        <v/>
      </c>
      <c r="E312" s="7">
        <f>IFERROR(_xlfn.XLOOKUP(A312,'Food Database'!A:A,'Food Database'!C:C)*B312,"")</f>
        <v>0</v>
      </c>
    </row>
    <row r="313" spans="3:5" x14ac:dyDescent="0.2">
      <c r="C313" s="4"/>
      <c r="D313" s="6" t="str">
        <f>IFERROR(_xlfn.XLOOKUP(A313,'Food Database'!A:A,'Food Database'!B:B)*B313,"")</f>
        <v/>
      </c>
      <c r="E313" s="7">
        <f>IFERROR(_xlfn.XLOOKUP(A313,'Food Database'!A:A,'Food Database'!C:C)*B313,"")</f>
        <v>0</v>
      </c>
    </row>
    <row r="314" spans="3:5" x14ac:dyDescent="0.2">
      <c r="C314" s="4"/>
      <c r="D314" s="6" t="str">
        <f>IFERROR(_xlfn.XLOOKUP(A314,'Food Database'!A:A,'Food Database'!B:B)*B314,"")</f>
        <v/>
      </c>
      <c r="E314" s="7">
        <f>IFERROR(_xlfn.XLOOKUP(A314,'Food Database'!A:A,'Food Database'!C:C)*B314,"")</f>
        <v>0</v>
      </c>
    </row>
    <row r="315" spans="3:5" x14ac:dyDescent="0.2">
      <c r="C315" s="4"/>
      <c r="D315" s="6" t="str">
        <f>IFERROR(_xlfn.XLOOKUP(A315,'Food Database'!A:A,'Food Database'!B:B)*B315,"")</f>
        <v/>
      </c>
      <c r="E315" s="7">
        <f>IFERROR(_xlfn.XLOOKUP(A315,'Food Database'!A:A,'Food Database'!C:C)*B315,"")</f>
        <v>0</v>
      </c>
    </row>
    <row r="316" spans="3:5" x14ac:dyDescent="0.2">
      <c r="C316" s="4"/>
      <c r="D316" s="6" t="str">
        <f>IFERROR(_xlfn.XLOOKUP(A316,'Food Database'!A:A,'Food Database'!B:B)*B316,"")</f>
        <v/>
      </c>
      <c r="E316" s="7">
        <f>IFERROR(_xlfn.XLOOKUP(A316,'Food Database'!A:A,'Food Database'!C:C)*B316,"")</f>
        <v>0</v>
      </c>
    </row>
    <row r="317" spans="3:5" x14ac:dyDescent="0.2">
      <c r="C317" s="4"/>
      <c r="D317" s="6" t="str">
        <f>IFERROR(_xlfn.XLOOKUP(A317,'Food Database'!A:A,'Food Database'!B:B)*B317,"")</f>
        <v/>
      </c>
      <c r="E317" s="7">
        <f>IFERROR(_xlfn.XLOOKUP(A317,'Food Database'!A:A,'Food Database'!C:C)*B317,"")</f>
        <v>0</v>
      </c>
    </row>
    <row r="318" spans="3:5" x14ac:dyDescent="0.2">
      <c r="C318" s="4"/>
      <c r="D318" s="6" t="str">
        <f>IFERROR(_xlfn.XLOOKUP(A318,'Food Database'!A:A,'Food Database'!B:B)*B318,"")</f>
        <v/>
      </c>
      <c r="E318" s="7">
        <f>IFERROR(_xlfn.XLOOKUP(A318,'Food Database'!A:A,'Food Database'!C:C)*B318,"")</f>
        <v>0</v>
      </c>
    </row>
    <row r="319" spans="3:5" x14ac:dyDescent="0.2">
      <c r="C319" s="4"/>
      <c r="D319" s="6" t="str">
        <f>IFERROR(_xlfn.XLOOKUP(A319,'Food Database'!A:A,'Food Database'!B:B)*B319,"")</f>
        <v/>
      </c>
      <c r="E319" s="7">
        <f>IFERROR(_xlfn.XLOOKUP(A319,'Food Database'!A:A,'Food Database'!C:C)*B319,"")</f>
        <v>0</v>
      </c>
    </row>
    <row r="320" spans="3:5" x14ac:dyDescent="0.2">
      <c r="C320" s="4"/>
      <c r="D320" s="6" t="str">
        <f>IFERROR(_xlfn.XLOOKUP(A320,'Food Database'!A:A,'Food Database'!B:B)*B320,"")</f>
        <v/>
      </c>
      <c r="E320" s="7">
        <f>IFERROR(_xlfn.XLOOKUP(A320,'Food Database'!A:A,'Food Database'!C:C)*B320,"")</f>
        <v>0</v>
      </c>
    </row>
    <row r="321" spans="3:5" x14ac:dyDescent="0.2">
      <c r="C321" s="4"/>
      <c r="D321" s="6" t="str">
        <f>IFERROR(_xlfn.XLOOKUP(A321,'Food Database'!A:A,'Food Database'!B:B)*B321,"")</f>
        <v/>
      </c>
      <c r="E321" s="7">
        <f>IFERROR(_xlfn.XLOOKUP(A321,'Food Database'!A:A,'Food Database'!C:C)*B321,"")</f>
        <v>0</v>
      </c>
    </row>
  </sheetData>
  <pageMargins left="0.7" right="0.7" top="0.75" bottom="0.75" header="0.3" footer="0.3"/>
  <ignoredErrors>
    <ignoredError sqref="D20:D21 D2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EC2F-14E4-7746-910A-FF8D2BE9B40C}">
  <dimension ref="A1:D12"/>
  <sheetViews>
    <sheetView zoomScale="169" workbookViewId="0">
      <selection activeCell="C12" sqref="C12"/>
    </sheetView>
  </sheetViews>
  <sheetFormatPr baseColWidth="10" defaultColWidth="10.83203125" defaultRowHeight="16" x14ac:dyDescent="0.2"/>
  <cols>
    <col min="1" max="1" width="10.83203125" style="4"/>
    <col min="2" max="3" width="10.83203125" style="5"/>
  </cols>
  <sheetData>
    <row r="1" spans="1:4" s="12" customFormat="1" x14ac:dyDescent="0.2">
      <c r="A1" s="8" t="s">
        <v>0</v>
      </c>
      <c r="B1" s="9" t="s">
        <v>5</v>
      </c>
      <c r="C1" s="10" t="s">
        <v>2</v>
      </c>
      <c r="D1" s="11"/>
    </row>
    <row r="2" spans="1:4" x14ac:dyDescent="0.2">
      <c r="A2" s="4">
        <v>46218</v>
      </c>
      <c r="B2" s="5" t="s">
        <v>6</v>
      </c>
      <c r="C2" s="5">
        <v>466</v>
      </c>
    </row>
    <row r="3" spans="1:4" x14ac:dyDescent="0.2">
      <c r="A3" s="4">
        <v>46219</v>
      </c>
      <c r="B3" s="5" t="s">
        <v>6</v>
      </c>
      <c r="C3" s="5">
        <v>26</v>
      </c>
    </row>
    <row r="4" spans="1:4" x14ac:dyDescent="0.2">
      <c r="A4" s="4">
        <v>46220</v>
      </c>
      <c r="B4" s="5" t="s">
        <v>6</v>
      </c>
      <c r="C4" s="5">
        <v>250</v>
      </c>
    </row>
    <row r="5" spans="1:4" x14ac:dyDescent="0.2">
      <c r="A5" s="4">
        <v>46221</v>
      </c>
      <c r="B5" s="5" t="s">
        <v>6</v>
      </c>
      <c r="C5" s="5">
        <v>25</v>
      </c>
    </row>
    <row r="6" spans="1:4" x14ac:dyDescent="0.2">
      <c r="A6" s="4">
        <v>46222</v>
      </c>
      <c r="B6" s="5" t="s">
        <v>6</v>
      </c>
      <c r="C6" s="5">
        <v>160</v>
      </c>
    </row>
    <row r="7" spans="1:4" x14ac:dyDescent="0.2">
      <c r="A7" s="4">
        <v>46223</v>
      </c>
      <c r="B7" s="5" t="s">
        <v>6</v>
      </c>
      <c r="C7" s="5">
        <v>87</v>
      </c>
    </row>
    <row r="8" spans="1:4" x14ac:dyDescent="0.2">
      <c r="A8" s="4">
        <v>46224</v>
      </c>
      <c r="B8" s="5" t="s">
        <v>6</v>
      </c>
      <c r="C8" s="5">
        <v>50</v>
      </c>
    </row>
    <row r="9" spans="1:4" x14ac:dyDescent="0.2">
      <c r="A9" s="4">
        <v>46225</v>
      </c>
      <c r="B9" s="5" t="s">
        <v>6</v>
      </c>
      <c r="C9" s="5">
        <v>350</v>
      </c>
    </row>
    <row r="10" spans="1:4" x14ac:dyDescent="0.2">
      <c r="A10" s="4">
        <v>46226</v>
      </c>
      <c r="B10" s="5" t="s">
        <v>6</v>
      </c>
      <c r="C10" s="5">
        <v>60</v>
      </c>
    </row>
    <row r="11" spans="1:4" x14ac:dyDescent="0.2">
      <c r="A11" s="4">
        <v>46227</v>
      </c>
      <c r="B11" s="5" t="s">
        <v>6</v>
      </c>
      <c r="C11" s="5">
        <v>250</v>
      </c>
    </row>
    <row r="12" spans="1:4" x14ac:dyDescent="0.2">
      <c r="A12" s="4">
        <v>46228</v>
      </c>
      <c r="B12" s="5" t="s">
        <v>6</v>
      </c>
      <c r="C12" s="5">
        <v>300</v>
      </c>
    </row>
  </sheetData>
  <conditionalFormatting sqref="C2:C1048576">
    <cfRule type="cellIs" dxfId="12" priority="1" operator="greaterThanOrEqual">
      <formula>200</formula>
    </cfRule>
    <cfRule type="cellIs" dxfId="11" priority="2" operator="lessThanOrEqual">
      <formula>70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FE3C-1529-9D4D-8077-F50ADE49B8B5}">
  <dimension ref="A1:C199"/>
  <sheetViews>
    <sheetView topLeftCell="A5" zoomScale="232" workbookViewId="0">
      <selection activeCell="C18" sqref="C18"/>
    </sheetView>
  </sheetViews>
  <sheetFormatPr baseColWidth="10" defaultColWidth="10.83203125" defaultRowHeight="16" x14ac:dyDescent="0.2"/>
  <cols>
    <col min="1" max="1" width="30.5" style="5" bestFit="1" customWidth="1"/>
    <col min="2" max="3" width="10.83203125" style="5"/>
  </cols>
  <sheetData>
    <row r="1" spans="1:3" s="12" customFormat="1" x14ac:dyDescent="0.2">
      <c r="A1" s="9" t="s">
        <v>1</v>
      </c>
      <c r="B1" s="9" t="s">
        <v>2</v>
      </c>
      <c r="C1" s="9" t="s">
        <v>3</v>
      </c>
    </row>
    <row r="2" spans="1:3" x14ac:dyDescent="0.2">
      <c r="A2" s="5" t="s">
        <v>4</v>
      </c>
      <c r="B2" s="6">
        <v>123</v>
      </c>
      <c r="C2" s="7">
        <v>21</v>
      </c>
    </row>
    <row r="3" spans="1:3" x14ac:dyDescent="0.2">
      <c r="A3" s="5" t="s">
        <v>18</v>
      </c>
      <c r="B3" s="6">
        <v>400</v>
      </c>
      <c r="C3" s="7">
        <v>25.6</v>
      </c>
    </row>
    <row r="4" spans="1:3" x14ac:dyDescent="0.2">
      <c r="A4" s="5" t="s">
        <v>8</v>
      </c>
      <c r="B4" s="6">
        <v>200</v>
      </c>
      <c r="C4" s="7">
        <v>2</v>
      </c>
    </row>
    <row r="5" spans="1:3" x14ac:dyDescent="0.2">
      <c r="A5" s="5" t="s">
        <v>19</v>
      </c>
      <c r="B5" s="6">
        <v>550</v>
      </c>
      <c r="C5" s="7">
        <v>47</v>
      </c>
    </row>
    <row r="6" spans="1:3" x14ac:dyDescent="0.2">
      <c r="A6" s="5" t="s">
        <v>9</v>
      </c>
      <c r="B6" s="6">
        <v>30</v>
      </c>
      <c r="C6" s="7">
        <v>1</v>
      </c>
    </row>
    <row r="7" spans="1:3" x14ac:dyDescent="0.2">
      <c r="A7" s="5" t="s">
        <v>10</v>
      </c>
      <c r="B7" s="6">
        <v>630</v>
      </c>
      <c r="C7" s="7">
        <v>46</v>
      </c>
    </row>
    <row r="8" spans="1:3" x14ac:dyDescent="0.2">
      <c r="A8" s="5" t="s">
        <v>21</v>
      </c>
      <c r="B8" s="6">
        <v>61</v>
      </c>
      <c r="C8" s="7">
        <v>2.2999999999999998</v>
      </c>
    </row>
    <row r="9" spans="1:3" x14ac:dyDescent="0.2">
      <c r="A9" s="5" t="s">
        <v>20</v>
      </c>
      <c r="B9" s="6">
        <v>30</v>
      </c>
      <c r="C9" s="7">
        <v>1.5</v>
      </c>
    </row>
    <row r="10" spans="1:3" x14ac:dyDescent="0.2">
      <c r="A10" s="5" t="s">
        <v>17</v>
      </c>
      <c r="B10" s="6">
        <v>150</v>
      </c>
      <c r="C10" s="7">
        <v>15</v>
      </c>
    </row>
    <row r="11" spans="1:3" x14ac:dyDescent="0.2">
      <c r="A11" s="5" t="s">
        <v>11</v>
      </c>
      <c r="B11" s="6">
        <v>80</v>
      </c>
      <c r="C11" s="7">
        <v>2</v>
      </c>
    </row>
    <row r="12" spans="1:3" x14ac:dyDescent="0.2">
      <c r="A12" s="5" t="s">
        <v>16</v>
      </c>
      <c r="B12" s="6">
        <v>90</v>
      </c>
      <c r="C12" s="7">
        <v>7.5</v>
      </c>
    </row>
    <row r="13" spans="1:3" x14ac:dyDescent="0.2">
      <c r="A13" s="5" t="s">
        <v>33</v>
      </c>
      <c r="B13" s="6">
        <v>188</v>
      </c>
      <c r="C13" s="7">
        <v>26</v>
      </c>
    </row>
    <row r="14" spans="1:3" x14ac:dyDescent="0.2">
      <c r="A14" s="5" t="s">
        <v>37</v>
      </c>
      <c r="B14" s="6">
        <v>50</v>
      </c>
      <c r="C14" s="7">
        <v>0</v>
      </c>
    </row>
    <row r="15" spans="1:3" x14ac:dyDescent="0.2">
      <c r="A15" s="5" t="s">
        <v>40</v>
      </c>
      <c r="B15" s="6">
        <v>520</v>
      </c>
      <c r="C15" s="7">
        <v>32</v>
      </c>
    </row>
    <row r="16" spans="1:3" x14ac:dyDescent="0.2">
      <c r="A16" s="5" t="s">
        <v>44</v>
      </c>
      <c r="B16" s="6">
        <v>330</v>
      </c>
      <c r="C16" s="7">
        <v>52</v>
      </c>
    </row>
    <row r="17" spans="1:3" x14ac:dyDescent="0.2">
      <c r="A17" s="5" t="s">
        <v>41</v>
      </c>
      <c r="B17" s="6">
        <v>54</v>
      </c>
      <c r="C17" s="7">
        <v>2.7</v>
      </c>
    </row>
    <row r="18" spans="1:3" x14ac:dyDescent="0.2">
      <c r="A18" s="5" t="s">
        <v>43</v>
      </c>
      <c r="B18" s="6">
        <v>250</v>
      </c>
      <c r="C18" s="7">
        <v>26</v>
      </c>
    </row>
    <row r="19" spans="1:3" x14ac:dyDescent="0.2">
      <c r="B19" s="6"/>
      <c r="C19" s="7"/>
    </row>
    <row r="20" spans="1:3" x14ac:dyDescent="0.2">
      <c r="B20" s="6"/>
      <c r="C20" s="7"/>
    </row>
    <row r="21" spans="1:3" x14ac:dyDescent="0.2">
      <c r="B21" s="6"/>
      <c r="C21" s="7"/>
    </row>
    <row r="22" spans="1:3" x14ac:dyDescent="0.2">
      <c r="B22" s="6"/>
      <c r="C22" s="7"/>
    </row>
    <row r="23" spans="1:3" x14ac:dyDescent="0.2">
      <c r="B23" s="6"/>
      <c r="C23" s="7"/>
    </row>
    <row r="24" spans="1:3" x14ac:dyDescent="0.2">
      <c r="B24" s="6"/>
      <c r="C24" s="7"/>
    </row>
    <row r="25" spans="1:3" x14ac:dyDescent="0.2">
      <c r="B25" s="6"/>
      <c r="C25" s="7"/>
    </row>
    <row r="26" spans="1:3" x14ac:dyDescent="0.2">
      <c r="B26" s="6"/>
      <c r="C26" s="7"/>
    </row>
    <row r="27" spans="1:3" x14ac:dyDescent="0.2">
      <c r="B27" s="6"/>
      <c r="C27" s="7"/>
    </row>
    <row r="28" spans="1:3" x14ac:dyDescent="0.2">
      <c r="B28" s="6"/>
      <c r="C28" s="7"/>
    </row>
    <row r="29" spans="1:3" x14ac:dyDescent="0.2">
      <c r="B29" s="6"/>
      <c r="C29" s="7"/>
    </row>
    <row r="30" spans="1:3" x14ac:dyDescent="0.2">
      <c r="B30" s="6"/>
      <c r="C30" s="7"/>
    </row>
    <row r="31" spans="1:3" x14ac:dyDescent="0.2">
      <c r="B31" s="6"/>
      <c r="C31" s="7"/>
    </row>
    <row r="32" spans="1:3" x14ac:dyDescent="0.2">
      <c r="B32" s="6"/>
      <c r="C32" s="7"/>
    </row>
    <row r="33" spans="2:3" x14ac:dyDescent="0.2">
      <c r="B33" s="6"/>
      <c r="C33" s="7"/>
    </row>
    <row r="34" spans="2:3" x14ac:dyDescent="0.2">
      <c r="B34" s="6"/>
      <c r="C34" s="7"/>
    </row>
    <row r="35" spans="2:3" x14ac:dyDescent="0.2">
      <c r="B35" s="6"/>
      <c r="C35" s="7"/>
    </row>
    <row r="36" spans="2:3" x14ac:dyDescent="0.2">
      <c r="B36" s="6"/>
      <c r="C36" s="7"/>
    </row>
    <row r="37" spans="2:3" x14ac:dyDescent="0.2">
      <c r="B37" s="6"/>
      <c r="C37" s="7"/>
    </row>
    <row r="38" spans="2:3" x14ac:dyDescent="0.2">
      <c r="B38" s="6"/>
      <c r="C38" s="7"/>
    </row>
    <row r="39" spans="2:3" x14ac:dyDescent="0.2">
      <c r="B39" s="6"/>
      <c r="C39" s="7"/>
    </row>
    <row r="40" spans="2:3" x14ac:dyDescent="0.2">
      <c r="B40" s="6"/>
      <c r="C40" s="7"/>
    </row>
    <row r="41" spans="2:3" x14ac:dyDescent="0.2">
      <c r="B41" s="6"/>
      <c r="C41" s="7"/>
    </row>
    <row r="42" spans="2:3" x14ac:dyDescent="0.2">
      <c r="B42" s="6"/>
      <c r="C42" s="7"/>
    </row>
    <row r="43" spans="2:3" x14ac:dyDescent="0.2">
      <c r="B43" s="6"/>
      <c r="C43" s="7"/>
    </row>
    <row r="44" spans="2:3" x14ac:dyDescent="0.2">
      <c r="B44" s="6"/>
      <c r="C44" s="7"/>
    </row>
    <row r="45" spans="2:3" x14ac:dyDescent="0.2">
      <c r="B45" s="6"/>
      <c r="C45" s="7"/>
    </row>
    <row r="46" spans="2:3" x14ac:dyDescent="0.2">
      <c r="B46" s="6"/>
      <c r="C46" s="7"/>
    </row>
    <row r="47" spans="2:3" x14ac:dyDescent="0.2">
      <c r="B47" s="6"/>
      <c r="C47" s="7"/>
    </row>
    <row r="48" spans="2:3" x14ac:dyDescent="0.2">
      <c r="B48" s="6"/>
      <c r="C48" s="7"/>
    </row>
    <row r="49" spans="2:3" x14ac:dyDescent="0.2">
      <c r="B49" s="6"/>
      <c r="C49" s="7"/>
    </row>
    <row r="50" spans="2:3" x14ac:dyDescent="0.2">
      <c r="B50" s="6"/>
      <c r="C50" s="7"/>
    </row>
    <row r="51" spans="2:3" x14ac:dyDescent="0.2">
      <c r="B51" s="6"/>
      <c r="C51" s="7"/>
    </row>
    <row r="52" spans="2:3" x14ac:dyDescent="0.2">
      <c r="B52" s="6"/>
      <c r="C52" s="7"/>
    </row>
    <row r="53" spans="2:3" x14ac:dyDescent="0.2">
      <c r="B53" s="6"/>
      <c r="C53" s="7"/>
    </row>
    <row r="54" spans="2:3" x14ac:dyDescent="0.2">
      <c r="B54" s="6"/>
      <c r="C54" s="7"/>
    </row>
    <row r="55" spans="2:3" x14ac:dyDescent="0.2">
      <c r="B55" s="6"/>
      <c r="C55" s="7"/>
    </row>
    <row r="56" spans="2:3" x14ac:dyDescent="0.2">
      <c r="B56" s="6"/>
      <c r="C56" s="7"/>
    </row>
    <row r="57" spans="2:3" x14ac:dyDescent="0.2">
      <c r="B57" s="6"/>
      <c r="C57" s="7"/>
    </row>
    <row r="58" spans="2:3" x14ac:dyDescent="0.2">
      <c r="B58" s="6"/>
      <c r="C58" s="7"/>
    </row>
    <row r="59" spans="2:3" x14ac:dyDescent="0.2">
      <c r="B59" s="6"/>
      <c r="C59" s="7"/>
    </row>
    <row r="60" spans="2:3" x14ac:dyDescent="0.2">
      <c r="B60" s="6"/>
      <c r="C60" s="7"/>
    </row>
    <row r="61" spans="2:3" x14ac:dyDescent="0.2">
      <c r="B61" s="6"/>
      <c r="C61" s="7"/>
    </row>
    <row r="62" spans="2:3" x14ac:dyDescent="0.2">
      <c r="B62" s="6"/>
      <c r="C62" s="7"/>
    </row>
    <row r="63" spans="2:3" x14ac:dyDescent="0.2">
      <c r="B63" s="6"/>
      <c r="C63" s="7"/>
    </row>
    <row r="64" spans="2:3" x14ac:dyDescent="0.2">
      <c r="B64" s="6"/>
      <c r="C64" s="7"/>
    </row>
    <row r="65" spans="2:3" x14ac:dyDescent="0.2">
      <c r="B65" s="6"/>
      <c r="C65" s="7"/>
    </row>
    <row r="66" spans="2:3" x14ac:dyDescent="0.2">
      <c r="B66" s="6"/>
      <c r="C66" s="7"/>
    </row>
    <row r="67" spans="2:3" x14ac:dyDescent="0.2">
      <c r="B67" s="6"/>
      <c r="C67" s="7"/>
    </row>
    <row r="68" spans="2:3" x14ac:dyDescent="0.2">
      <c r="B68" s="6"/>
      <c r="C68" s="7"/>
    </row>
    <row r="69" spans="2:3" x14ac:dyDescent="0.2">
      <c r="B69" s="6"/>
      <c r="C69" s="7"/>
    </row>
    <row r="70" spans="2:3" x14ac:dyDescent="0.2">
      <c r="B70" s="6"/>
      <c r="C70" s="7"/>
    </row>
    <row r="71" spans="2:3" x14ac:dyDescent="0.2">
      <c r="B71" s="6"/>
      <c r="C71" s="7"/>
    </row>
    <row r="72" spans="2:3" x14ac:dyDescent="0.2">
      <c r="B72" s="6"/>
      <c r="C72" s="7"/>
    </row>
    <row r="73" spans="2:3" x14ac:dyDescent="0.2">
      <c r="B73" s="6"/>
      <c r="C73" s="7"/>
    </row>
    <row r="74" spans="2:3" x14ac:dyDescent="0.2">
      <c r="B74" s="6"/>
      <c r="C74" s="7"/>
    </row>
    <row r="75" spans="2:3" x14ac:dyDescent="0.2">
      <c r="B75" s="6"/>
      <c r="C75" s="7"/>
    </row>
    <row r="76" spans="2:3" x14ac:dyDescent="0.2">
      <c r="B76" s="6"/>
      <c r="C76" s="7"/>
    </row>
    <row r="77" spans="2:3" x14ac:dyDescent="0.2">
      <c r="B77" s="6"/>
      <c r="C77" s="7"/>
    </row>
    <row r="78" spans="2:3" x14ac:dyDescent="0.2">
      <c r="B78" s="6"/>
      <c r="C78" s="7"/>
    </row>
    <row r="79" spans="2:3" x14ac:dyDescent="0.2">
      <c r="B79" s="6"/>
      <c r="C79" s="7"/>
    </row>
    <row r="80" spans="2:3" x14ac:dyDescent="0.2">
      <c r="B80" s="6"/>
      <c r="C80" s="7"/>
    </row>
    <row r="81" spans="2:3" x14ac:dyDescent="0.2">
      <c r="B81" s="6"/>
      <c r="C81" s="7"/>
    </row>
    <row r="82" spans="2:3" x14ac:dyDescent="0.2">
      <c r="B82" s="6"/>
      <c r="C82" s="7"/>
    </row>
    <row r="83" spans="2:3" x14ac:dyDescent="0.2">
      <c r="B83" s="6"/>
      <c r="C83" s="7"/>
    </row>
    <row r="84" spans="2:3" x14ac:dyDescent="0.2">
      <c r="B84" s="6"/>
      <c r="C84" s="7"/>
    </row>
    <row r="85" spans="2:3" x14ac:dyDescent="0.2">
      <c r="B85" s="6"/>
      <c r="C85" s="7"/>
    </row>
    <row r="86" spans="2:3" x14ac:dyDescent="0.2">
      <c r="B86" s="6"/>
      <c r="C86" s="7"/>
    </row>
    <row r="87" spans="2:3" x14ac:dyDescent="0.2">
      <c r="B87" s="6"/>
      <c r="C87" s="7"/>
    </row>
    <row r="88" spans="2:3" x14ac:dyDescent="0.2">
      <c r="B88" s="6"/>
      <c r="C88" s="7"/>
    </row>
    <row r="89" spans="2:3" x14ac:dyDescent="0.2">
      <c r="B89" s="6"/>
      <c r="C89" s="7"/>
    </row>
    <row r="90" spans="2:3" x14ac:dyDescent="0.2">
      <c r="B90" s="6"/>
      <c r="C90" s="7"/>
    </row>
    <row r="91" spans="2:3" x14ac:dyDescent="0.2">
      <c r="B91" s="6"/>
      <c r="C91" s="7"/>
    </row>
    <row r="92" spans="2:3" x14ac:dyDescent="0.2">
      <c r="B92" s="6"/>
      <c r="C92" s="7"/>
    </row>
    <row r="93" spans="2:3" x14ac:dyDescent="0.2">
      <c r="B93" s="6"/>
      <c r="C93" s="7"/>
    </row>
    <row r="94" spans="2:3" x14ac:dyDescent="0.2">
      <c r="B94" s="6"/>
      <c r="C94" s="7"/>
    </row>
    <row r="95" spans="2:3" x14ac:dyDescent="0.2">
      <c r="B95" s="6"/>
      <c r="C95" s="7"/>
    </row>
    <row r="96" spans="2:3" x14ac:dyDescent="0.2">
      <c r="B96" s="6"/>
      <c r="C96" s="7"/>
    </row>
    <row r="97" spans="2:3" x14ac:dyDescent="0.2">
      <c r="B97" s="6"/>
      <c r="C97" s="7"/>
    </row>
    <row r="98" spans="2:3" x14ac:dyDescent="0.2">
      <c r="B98" s="6"/>
      <c r="C98" s="7"/>
    </row>
    <row r="99" spans="2:3" x14ac:dyDescent="0.2">
      <c r="B99" s="6"/>
      <c r="C99" s="7"/>
    </row>
    <row r="100" spans="2:3" x14ac:dyDescent="0.2">
      <c r="B100" s="6"/>
      <c r="C100" s="7"/>
    </row>
    <row r="101" spans="2:3" x14ac:dyDescent="0.2">
      <c r="B101" s="6"/>
      <c r="C101" s="7"/>
    </row>
    <row r="102" spans="2:3" x14ac:dyDescent="0.2">
      <c r="B102" s="6"/>
      <c r="C102" s="7"/>
    </row>
    <row r="103" spans="2:3" x14ac:dyDescent="0.2">
      <c r="B103" s="6"/>
      <c r="C103" s="7"/>
    </row>
    <row r="104" spans="2:3" x14ac:dyDescent="0.2">
      <c r="B104" s="6"/>
      <c r="C104" s="7"/>
    </row>
    <row r="105" spans="2:3" x14ac:dyDescent="0.2">
      <c r="B105" s="6"/>
      <c r="C105" s="7"/>
    </row>
    <row r="106" spans="2:3" x14ac:dyDescent="0.2">
      <c r="B106" s="6"/>
      <c r="C106" s="7"/>
    </row>
    <row r="107" spans="2:3" x14ac:dyDescent="0.2">
      <c r="B107" s="6"/>
      <c r="C107" s="7"/>
    </row>
    <row r="108" spans="2:3" x14ac:dyDescent="0.2">
      <c r="B108" s="6"/>
      <c r="C108" s="7"/>
    </row>
    <row r="109" spans="2:3" x14ac:dyDescent="0.2">
      <c r="B109" s="6"/>
      <c r="C109" s="7"/>
    </row>
    <row r="110" spans="2:3" x14ac:dyDescent="0.2">
      <c r="B110" s="6"/>
      <c r="C110" s="7"/>
    </row>
    <row r="111" spans="2:3" x14ac:dyDescent="0.2">
      <c r="B111" s="6"/>
      <c r="C111" s="7"/>
    </row>
    <row r="112" spans="2:3" x14ac:dyDescent="0.2">
      <c r="B112" s="6"/>
      <c r="C112" s="7"/>
    </row>
    <row r="113" spans="2:3" x14ac:dyDescent="0.2">
      <c r="B113" s="6"/>
      <c r="C113" s="7"/>
    </row>
    <row r="114" spans="2:3" x14ac:dyDescent="0.2">
      <c r="B114" s="6"/>
      <c r="C114" s="7"/>
    </row>
    <row r="115" spans="2:3" x14ac:dyDescent="0.2">
      <c r="B115" s="6"/>
      <c r="C115" s="7"/>
    </row>
    <row r="116" spans="2:3" x14ac:dyDescent="0.2">
      <c r="B116" s="6"/>
      <c r="C116" s="7"/>
    </row>
    <row r="117" spans="2:3" x14ac:dyDescent="0.2">
      <c r="B117" s="6"/>
      <c r="C117" s="7"/>
    </row>
    <row r="118" spans="2:3" x14ac:dyDescent="0.2">
      <c r="B118" s="6"/>
      <c r="C118" s="7"/>
    </row>
    <row r="119" spans="2:3" x14ac:dyDescent="0.2">
      <c r="B119" s="6"/>
      <c r="C119" s="7"/>
    </row>
    <row r="120" spans="2:3" x14ac:dyDescent="0.2">
      <c r="B120" s="6"/>
      <c r="C120" s="7"/>
    </row>
    <row r="121" spans="2:3" x14ac:dyDescent="0.2">
      <c r="B121" s="6"/>
      <c r="C121" s="7"/>
    </row>
    <row r="122" spans="2:3" x14ac:dyDescent="0.2">
      <c r="B122" s="6"/>
      <c r="C122" s="7"/>
    </row>
    <row r="123" spans="2:3" x14ac:dyDescent="0.2">
      <c r="B123" s="6"/>
      <c r="C123" s="7"/>
    </row>
    <row r="124" spans="2:3" x14ac:dyDescent="0.2">
      <c r="B124" s="6"/>
      <c r="C124" s="7"/>
    </row>
    <row r="125" spans="2:3" x14ac:dyDescent="0.2">
      <c r="B125" s="6"/>
      <c r="C125" s="7"/>
    </row>
    <row r="126" spans="2:3" x14ac:dyDescent="0.2">
      <c r="B126" s="6"/>
      <c r="C126" s="7"/>
    </row>
    <row r="127" spans="2:3" x14ac:dyDescent="0.2">
      <c r="B127" s="6"/>
      <c r="C127" s="7"/>
    </row>
    <row r="128" spans="2:3" x14ac:dyDescent="0.2">
      <c r="B128" s="6"/>
      <c r="C128" s="7"/>
    </row>
    <row r="129" spans="2:3" x14ac:dyDescent="0.2">
      <c r="B129" s="6"/>
      <c r="C129" s="7"/>
    </row>
    <row r="130" spans="2:3" x14ac:dyDescent="0.2">
      <c r="B130" s="6"/>
      <c r="C130" s="7"/>
    </row>
    <row r="131" spans="2:3" x14ac:dyDescent="0.2">
      <c r="B131" s="6"/>
      <c r="C131" s="7"/>
    </row>
    <row r="132" spans="2:3" x14ac:dyDescent="0.2">
      <c r="B132" s="6"/>
      <c r="C132" s="7"/>
    </row>
    <row r="133" spans="2:3" x14ac:dyDescent="0.2">
      <c r="B133" s="6"/>
      <c r="C133" s="7"/>
    </row>
    <row r="134" spans="2:3" x14ac:dyDescent="0.2">
      <c r="B134" s="6"/>
      <c r="C134" s="7"/>
    </row>
    <row r="135" spans="2:3" x14ac:dyDescent="0.2">
      <c r="B135" s="6"/>
      <c r="C135" s="7"/>
    </row>
    <row r="136" spans="2:3" x14ac:dyDescent="0.2">
      <c r="B136" s="6"/>
      <c r="C136" s="7"/>
    </row>
    <row r="137" spans="2:3" x14ac:dyDescent="0.2">
      <c r="B137" s="6"/>
      <c r="C137" s="7"/>
    </row>
    <row r="138" spans="2:3" x14ac:dyDescent="0.2">
      <c r="B138" s="6"/>
      <c r="C138" s="7"/>
    </row>
    <row r="139" spans="2:3" x14ac:dyDescent="0.2">
      <c r="B139" s="6"/>
      <c r="C139" s="7"/>
    </row>
    <row r="140" spans="2:3" x14ac:dyDescent="0.2">
      <c r="B140" s="6"/>
      <c r="C140" s="7"/>
    </row>
    <row r="141" spans="2:3" x14ac:dyDescent="0.2">
      <c r="B141" s="6"/>
      <c r="C141" s="7"/>
    </row>
    <row r="142" spans="2:3" x14ac:dyDescent="0.2">
      <c r="B142" s="6"/>
      <c r="C142" s="7"/>
    </row>
    <row r="143" spans="2:3" x14ac:dyDescent="0.2">
      <c r="B143" s="6"/>
      <c r="C143" s="7"/>
    </row>
    <row r="144" spans="2:3" x14ac:dyDescent="0.2">
      <c r="B144" s="6"/>
      <c r="C144" s="7"/>
    </row>
    <row r="145" spans="2:3" x14ac:dyDescent="0.2">
      <c r="B145" s="6"/>
      <c r="C145" s="7"/>
    </row>
    <row r="146" spans="2:3" x14ac:dyDescent="0.2">
      <c r="B146" s="6"/>
      <c r="C146" s="7"/>
    </row>
    <row r="147" spans="2:3" x14ac:dyDescent="0.2">
      <c r="B147" s="6"/>
      <c r="C147" s="7"/>
    </row>
    <row r="148" spans="2:3" x14ac:dyDescent="0.2">
      <c r="B148" s="6"/>
      <c r="C148" s="7"/>
    </row>
    <row r="149" spans="2:3" x14ac:dyDescent="0.2">
      <c r="B149" s="6"/>
      <c r="C149" s="7"/>
    </row>
    <row r="150" spans="2:3" x14ac:dyDescent="0.2">
      <c r="B150" s="6"/>
      <c r="C150" s="7"/>
    </row>
    <row r="151" spans="2:3" x14ac:dyDescent="0.2">
      <c r="B151" s="6"/>
      <c r="C151" s="7"/>
    </row>
    <row r="152" spans="2:3" x14ac:dyDescent="0.2">
      <c r="B152" s="6"/>
      <c r="C152" s="7"/>
    </row>
    <row r="153" spans="2:3" x14ac:dyDescent="0.2">
      <c r="B153" s="6"/>
      <c r="C153" s="7"/>
    </row>
    <row r="154" spans="2:3" x14ac:dyDescent="0.2">
      <c r="B154" s="6"/>
      <c r="C154" s="7"/>
    </row>
    <row r="155" spans="2:3" x14ac:dyDescent="0.2">
      <c r="B155" s="6"/>
      <c r="C155" s="7"/>
    </row>
    <row r="156" spans="2:3" x14ac:dyDescent="0.2">
      <c r="B156" s="6"/>
      <c r="C156" s="7"/>
    </row>
    <row r="157" spans="2:3" x14ac:dyDescent="0.2">
      <c r="B157" s="6"/>
      <c r="C157" s="7"/>
    </row>
    <row r="158" spans="2:3" x14ac:dyDescent="0.2">
      <c r="B158" s="6"/>
      <c r="C158" s="7"/>
    </row>
    <row r="159" spans="2:3" x14ac:dyDescent="0.2">
      <c r="B159" s="6"/>
      <c r="C159" s="7"/>
    </row>
    <row r="160" spans="2:3" x14ac:dyDescent="0.2">
      <c r="B160" s="6"/>
      <c r="C160" s="7"/>
    </row>
    <row r="161" spans="2:3" x14ac:dyDescent="0.2">
      <c r="B161" s="6"/>
      <c r="C161" s="7"/>
    </row>
    <row r="162" spans="2:3" x14ac:dyDescent="0.2">
      <c r="B162" s="6"/>
      <c r="C162" s="7"/>
    </row>
    <row r="163" spans="2:3" x14ac:dyDescent="0.2">
      <c r="B163" s="6"/>
      <c r="C163" s="7"/>
    </row>
    <row r="164" spans="2:3" x14ac:dyDescent="0.2">
      <c r="B164" s="6"/>
      <c r="C164" s="7"/>
    </row>
    <row r="165" spans="2:3" x14ac:dyDescent="0.2">
      <c r="B165" s="6"/>
      <c r="C165" s="7"/>
    </row>
    <row r="166" spans="2:3" x14ac:dyDescent="0.2">
      <c r="B166" s="6"/>
      <c r="C166" s="7"/>
    </row>
    <row r="167" spans="2:3" x14ac:dyDescent="0.2">
      <c r="B167" s="6"/>
      <c r="C167" s="7"/>
    </row>
    <row r="168" spans="2:3" x14ac:dyDescent="0.2">
      <c r="B168" s="6"/>
      <c r="C168" s="7"/>
    </row>
    <row r="169" spans="2:3" x14ac:dyDescent="0.2">
      <c r="B169" s="6"/>
      <c r="C169" s="7"/>
    </row>
    <row r="170" spans="2:3" x14ac:dyDescent="0.2">
      <c r="B170" s="6"/>
      <c r="C170" s="7"/>
    </row>
    <row r="171" spans="2:3" x14ac:dyDescent="0.2">
      <c r="B171" s="6"/>
      <c r="C171" s="7"/>
    </row>
    <row r="172" spans="2:3" x14ac:dyDescent="0.2">
      <c r="B172" s="6"/>
      <c r="C172" s="7"/>
    </row>
    <row r="173" spans="2:3" x14ac:dyDescent="0.2">
      <c r="B173" s="6"/>
      <c r="C173" s="7"/>
    </row>
    <row r="174" spans="2:3" x14ac:dyDescent="0.2">
      <c r="B174" s="6"/>
      <c r="C174" s="7"/>
    </row>
    <row r="175" spans="2:3" x14ac:dyDescent="0.2">
      <c r="B175" s="6"/>
      <c r="C175" s="7"/>
    </row>
    <row r="176" spans="2:3" x14ac:dyDescent="0.2">
      <c r="B176" s="6"/>
      <c r="C176" s="7"/>
    </row>
    <row r="177" spans="2:3" x14ac:dyDescent="0.2">
      <c r="B177" s="6"/>
      <c r="C177" s="7"/>
    </row>
    <row r="178" spans="2:3" x14ac:dyDescent="0.2">
      <c r="B178" s="6"/>
      <c r="C178" s="7"/>
    </row>
    <row r="179" spans="2:3" x14ac:dyDescent="0.2">
      <c r="B179" s="6"/>
      <c r="C179" s="7"/>
    </row>
    <row r="180" spans="2:3" x14ac:dyDescent="0.2">
      <c r="B180" s="6"/>
      <c r="C180" s="7"/>
    </row>
    <row r="181" spans="2:3" x14ac:dyDescent="0.2">
      <c r="B181" s="6"/>
      <c r="C181" s="7"/>
    </row>
    <row r="182" spans="2:3" x14ac:dyDescent="0.2">
      <c r="B182" s="6"/>
      <c r="C182" s="7"/>
    </row>
    <row r="183" spans="2:3" x14ac:dyDescent="0.2">
      <c r="B183" s="6"/>
      <c r="C183" s="7"/>
    </row>
    <row r="184" spans="2:3" x14ac:dyDescent="0.2">
      <c r="B184" s="6"/>
      <c r="C184" s="7"/>
    </row>
    <row r="185" spans="2:3" x14ac:dyDescent="0.2">
      <c r="B185" s="6"/>
      <c r="C185" s="7"/>
    </row>
    <row r="186" spans="2:3" x14ac:dyDescent="0.2">
      <c r="B186" s="6"/>
      <c r="C186" s="7"/>
    </row>
    <row r="187" spans="2:3" x14ac:dyDescent="0.2">
      <c r="B187" s="6"/>
      <c r="C187" s="7"/>
    </row>
    <row r="188" spans="2:3" x14ac:dyDescent="0.2">
      <c r="B188" s="6"/>
      <c r="C188" s="7"/>
    </row>
    <row r="189" spans="2:3" x14ac:dyDescent="0.2">
      <c r="B189" s="6"/>
      <c r="C189" s="7"/>
    </row>
    <row r="190" spans="2:3" x14ac:dyDescent="0.2">
      <c r="B190" s="6"/>
      <c r="C190" s="7"/>
    </row>
    <row r="191" spans="2:3" x14ac:dyDescent="0.2">
      <c r="B191" s="6"/>
      <c r="C191" s="7"/>
    </row>
    <row r="192" spans="2:3" x14ac:dyDescent="0.2">
      <c r="B192" s="6"/>
      <c r="C192" s="7"/>
    </row>
    <row r="193" spans="2:3" x14ac:dyDescent="0.2">
      <c r="B193" s="6"/>
      <c r="C193" s="7"/>
    </row>
    <row r="194" spans="2:3" x14ac:dyDescent="0.2">
      <c r="B194" s="6"/>
      <c r="C194" s="7"/>
    </row>
    <row r="195" spans="2:3" x14ac:dyDescent="0.2">
      <c r="B195" s="6"/>
      <c r="C195" s="7"/>
    </row>
    <row r="196" spans="2:3" x14ac:dyDescent="0.2">
      <c r="B196" s="6"/>
      <c r="C196" s="7"/>
    </row>
    <row r="197" spans="2:3" x14ac:dyDescent="0.2">
      <c r="B197" s="6"/>
      <c r="C197" s="7"/>
    </row>
    <row r="198" spans="2:3" x14ac:dyDescent="0.2">
      <c r="B198" s="6"/>
      <c r="C198" s="7"/>
    </row>
    <row r="199" spans="2:3" x14ac:dyDescent="0.2">
      <c r="B199" s="6"/>
      <c r="C199" s="7"/>
    </row>
  </sheetData>
  <conditionalFormatting sqref="B12">
    <cfRule type="cellIs" dxfId="10" priority="5" operator="lessThanOrEqual">
      <formula>70</formula>
    </cfRule>
  </conditionalFormatting>
  <conditionalFormatting sqref="C2:C13">
    <cfRule type="cellIs" dxfId="9" priority="1" operator="lessThan">
      <formula>5</formula>
    </cfRule>
    <cfRule type="cellIs" dxfId="8" priority="2" operator="greaterThanOrEqual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E85A-6BD1-5C48-B4EE-CDC5957498EA}">
  <dimension ref="A1:J242"/>
  <sheetViews>
    <sheetView tabSelected="1" zoomScale="207" workbookViewId="0">
      <selection activeCell="E2" sqref="E2"/>
    </sheetView>
  </sheetViews>
  <sheetFormatPr baseColWidth="10" defaultColWidth="10.83203125" defaultRowHeight="16" x14ac:dyDescent="0.2"/>
  <cols>
    <col min="1" max="1" width="10.5" bestFit="1" customWidth="1"/>
    <col min="2" max="2" width="8.83203125" style="3" customWidth="1"/>
    <col min="3" max="3" width="11.83203125" style="2" customWidth="1"/>
    <col min="4" max="4" width="13.83203125" style="3" customWidth="1"/>
    <col min="5" max="5" width="10.83203125" style="5"/>
    <col min="6" max="6" width="23.33203125" style="5" bestFit="1" customWidth="1"/>
    <col min="7" max="7" width="17.83203125" style="5" customWidth="1"/>
    <col min="10" max="10" width="10.83203125" style="2"/>
  </cols>
  <sheetData>
    <row r="1" spans="1:10" s="12" customFormat="1" x14ac:dyDescent="0.2">
      <c r="A1" s="12" t="s">
        <v>0</v>
      </c>
      <c r="B1" s="16" t="s">
        <v>12</v>
      </c>
      <c r="C1" s="15" t="s">
        <v>13</v>
      </c>
      <c r="D1" s="16" t="s">
        <v>14</v>
      </c>
      <c r="E1" s="9" t="s">
        <v>28</v>
      </c>
      <c r="F1" s="9" t="s">
        <v>29</v>
      </c>
      <c r="G1" s="9" t="s">
        <v>30</v>
      </c>
      <c r="J1" s="15" t="s">
        <v>15</v>
      </c>
    </row>
    <row r="2" spans="1:10" x14ac:dyDescent="0.2">
      <c r="A2" s="1">
        <v>46218</v>
      </c>
      <c r="B2" s="3">
        <f>SUMIFS('Food Log'!D:D,'Food Log'!C:C,A2)</f>
        <v>923</v>
      </c>
      <c r="C2" s="2">
        <f>SUMIFS('Food Log'!E:E,'Food Log'!C:C,A2)</f>
        <v>72.2</v>
      </c>
      <c r="D2" s="3">
        <f>SUMIFS('Food Log'!D:D,'Food Log'!C:C,A2)-($J$2+_xlfn.XLOOKUP(A2,Exercise!A:A,Exercise!C:C,0))</f>
        <v>-1163</v>
      </c>
      <c r="E2" s="24">
        <f>GETPIVOTDATA("Sum of Deficit/Surplus",'DB PivotTable'!$A$3)</f>
        <v>-10222.6</v>
      </c>
      <c r="F2" s="20">
        <f>ABS(E2)/154000</f>
        <v>6.6380519480519484E-2</v>
      </c>
      <c r="G2" s="21">
        <f>AVERAGE(D2:D1000)</f>
        <v>-929.32727272727277</v>
      </c>
      <c r="J2" s="3">
        <v>1620</v>
      </c>
    </row>
    <row r="3" spans="1:10" x14ac:dyDescent="0.2">
      <c r="A3" s="1">
        <v>46219</v>
      </c>
      <c r="B3" s="3">
        <f>SUMIFS('Food Log'!D:D,'Food Log'!C:C,A3)</f>
        <v>990</v>
      </c>
      <c r="C3" s="2">
        <f>SUMIFS('Food Log'!E:E,'Food Log'!C:C,A3)</f>
        <v>79</v>
      </c>
      <c r="D3" s="3">
        <f>SUMIFS('Food Log'!D:D,'Food Log'!C:C,A3)-($J$2+_xlfn.XLOOKUP(A3,Exercise!A:A,Exercise!C:C,0))</f>
        <v>-656</v>
      </c>
      <c r="E3" s="6"/>
    </row>
    <row r="4" spans="1:10" x14ac:dyDescent="0.2">
      <c r="A4" s="1">
        <v>46220</v>
      </c>
      <c r="B4" s="3">
        <f>SUMIFS('Food Log'!D:D,'Food Log'!C:C,A4)</f>
        <v>905</v>
      </c>
      <c r="C4" s="2">
        <f>SUMIFS('Food Log'!E:E,'Food Log'!C:C,A4)</f>
        <v>72.599999999999994</v>
      </c>
      <c r="D4" s="3">
        <f>SUMIFS('Food Log'!D:D,'Food Log'!C:C,A4)-($J$2+_xlfn.XLOOKUP(A4,Exercise!A:A,Exercise!C:C,0))</f>
        <v>-965</v>
      </c>
      <c r="E4" s="6"/>
    </row>
    <row r="5" spans="1:10" x14ac:dyDescent="0.2">
      <c r="A5" s="1">
        <v>46221</v>
      </c>
      <c r="B5" s="3">
        <f>SUMIFS('Food Log'!D:D,'Food Log'!C:C,A5)</f>
        <v>702</v>
      </c>
      <c r="C5" s="2">
        <f>SUMIFS('Food Log'!E:E,'Food Log'!C:C,A5)</f>
        <v>52.6</v>
      </c>
      <c r="D5" s="3">
        <f>SUMIFS('Food Log'!D:D,'Food Log'!C:C,A5)-($J$2+_xlfn.XLOOKUP(A5,Exercise!A:A,Exercise!C:C,0))</f>
        <v>-943</v>
      </c>
      <c r="E5" s="6"/>
    </row>
    <row r="6" spans="1:10" x14ac:dyDescent="0.2">
      <c r="A6" s="1">
        <v>46222</v>
      </c>
      <c r="B6" s="3">
        <f>SUMIFS('Food Log'!D:D,'Food Log'!C:C,A6)</f>
        <v>1005</v>
      </c>
      <c r="C6" s="2">
        <f>SUMIFS('Food Log'!E:E,'Food Log'!C:C,A6)</f>
        <v>87.5</v>
      </c>
      <c r="D6" s="3">
        <f>SUMIFS('Food Log'!D:D,'Food Log'!C:C,A6)-($J$2+_xlfn.XLOOKUP(A6,Exercise!A:A,Exercise!C:C,0))</f>
        <v>-775</v>
      </c>
      <c r="E6" s="6"/>
    </row>
    <row r="7" spans="1:10" x14ac:dyDescent="0.2">
      <c r="A7" s="1">
        <v>46223</v>
      </c>
      <c r="B7" s="3">
        <f>SUMIFS('Food Log'!D:D,'Food Log'!C:C,A7)</f>
        <v>724.6</v>
      </c>
      <c r="C7" s="2">
        <f>SUMIFS('Food Log'!E:E,'Food Log'!C:C,A7)</f>
        <v>80</v>
      </c>
      <c r="D7" s="3">
        <f>SUMIFS('Food Log'!D:D,'Food Log'!C:C,A7)-($J$2+_xlfn.XLOOKUP(A7,Exercise!A:A,Exercise!C:C,0))</f>
        <v>-982.4</v>
      </c>
      <c r="E7" s="6"/>
    </row>
    <row r="8" spans="1:10" x14ac:dyDescent="0.2">
      <c r="A8" s="1">
        <v>46224</v>
      </c>
      <c r="B8" s="3">
        <f>SUMIFS('Food Log'!D:D,'Food Log'!C:C,A8)</f>
        <v>915</v>
      </c>
      <c r="C8" s="2">
        <f>SUMIFS('Food Log'!E:E,'Food Log'!C:C,A8)</f>
        <v>116.5</v>
      </c>
      <c r="D8" s="3">
        <f>SUMIFS('Food Log'!D:D,'Food Log'!C:C,A8)-($J$2+_xlfn.XLOOKUP(A8,Exercise!A:A,Exercise!C:C,0))</f>
        <v>-755</v>
      </c>
      <c r="E8" s="6"/>
    </row>
    <row r="9" spans="1:10" x14ac:dyDescent="0.2">
      <c r="A9" s="1">
        <v>46225</v>
      </c>
      <c r="B9" s="3">
        <f>SUMIFS('Food Log'!D:D,'Food Log'!C:C,A9)</f>
        <v>700</v>
      </c>
      <c r="C9" s="2">
        <f>SUMIFS('Food Log'!E:E,'Food Log'!C:C,A9)</f>
        <v>87.5</v>
      </c>
      <c r="D9" s="3">
        <f>SUMIFS('Food Log'!D:D,'Food Log'!C:C,A9)-($J$2+_xlfn.XLOOKUP(A9,Exercise!A:A,Exercise!C:C,0))</f>
        <v>-1270</v>
      </c>
      <c r="E9" s="22"/>
    </row>
    <row r="10" spans="1:10" x14ac:dyDescent="0.2">
      <c r="A10" s="1">
        <v>46226</v>
      </c>
      <c r="B10" s="3">
        <f>SUMIFS('Food Log'!D:D,'Food Log'!C:C,A10)</f>
        <v>1222</v>
      </c>
      <c r="C10" s="2">
        <f>SUMIFS('Food Log'!E:E,'Food Log'!C:C,A10)</f>
        <v>96.3</v>
      </c>
      <c r="D10" s="3">
        <f>SUMIFS('Food Log'!D:D,'Food Log'!C:C,A10)-($J$2+_xlfn.XLOOKUP(A10,Exercise!A:A,Exercise!C:C,0))</f>
        <v>-458</v>
      </c>
      <c r="E10" s="6"/>
    </row>
    <row r="11" spans="1:10" x14ac:dyDescent="0.2">
      <c r="A11" s="1">
        <v>46227</v>
      </c>
      <c r="B11" s="3">
        <f>SUMIFS('Food Log'!D:D,'Food Log'!C:C,A11)</f>
        <v>954.8</v>
      </c>
      <c r="C11" s="2">
        <f>SUMIFS('Food Log'!E:E,'Food Log'!C:C,A11)</f>
        <v>99.12</v>
      </c>
      <c r="D11" s="3">
        <f>SUMIFS('Food Log'!D:D,'Food Log'!C:C,A11)-($J$2+_xlfn.XLOOKUP(A11,Exercise!A:A,Exercise!C:C,0))</f>
        <v>-915.2</v>
      </c>
      <c r="E11" s="6"/>
    </row>
    <row r="12" spans="1:10" x14ac:dyDescent="0.2">
      <c r="A12" s="1">
        <v>46228</v>
      </c>
      <c r="B12" s="3">
        <f>SUMIFS('Food Log'!D:D,'Food Log'!C:C,A12)</f>
        <v>580</v>
      </c>
      <c r="C12" s="2">
        <f>SUMIFS('Food Log'!E:E,'Food Log'!C:C,A12)</f>
        <v>61.92</v>
      </c>
      <c r="D12" s="3">
        <f>SUMIFS('Food Log'!D:D,'Food Log'!C:C,A12)-($J$2+_xlfn.XLOOKUP(A12,Exercise!A:A,Exercise!C:C,0))</f>
        <v>-1340</v>
      </c>
      <c r="E12" s="6"/>
    </row>
    <row r="13" spans="1:10" x14ac:dyDescent="0.2">
      <c r="A13" s="1"/>
      <c r="E13" s="6"/>
    </row>
    <row r="14" spans="1:10" x14ac:dyDescent="0.2">
      <c r="A14" s="1"/>
      <c r="E14" s="6"/>
    </row>
    <row r="15" spans="1:10" x14ac:dyDescent="0.2">
      <c r="A15" s="1"/>
      <c r="E15" s="6"/>
    </row>
    <row r="16" spans="1:10" x14ac:dyDescent="0.2">
      <c r="A16" s="1"/>
      <c r="E16" s="6"/>
    </row>
    <row r="17" spans="1:5" x14ac:dyDescent="0.2">
      <c r="A17" s="1"/>
      <c r="E17" s="6"/>
    </row>
    <row r="18" spans="1:5" x14ac:dyDescent="0.2">
      <c r="A18" s="1"/>
      <c r="E18" s="6"/>
    </row>
    <row r="19" spans="1:5" x14ac:dyDescent="0.2">
      <c r="A19" s="1"/>
      <c r="E19" s="6"/>
    </row>
    <row r="20" spans="1:5" x14ac:dyDescent="0.2">
      <c r="A20" s="1"/>
      <c r="E20" s="6"/>
    </row>
    <row r="21" spans="1:5" x14ac:dyDescent="0.2">
      <c r="A21" s="1"/>
      <c r="E21" s="6"/>
    </row>
    <row r="22" spans="1:5" x14ac:dyDescent="0.2">
      <c r="A22" s="1"/>
      <c r="E22" s="6"/>
    </row>
    <row r="23" spans="1:5" x14ac:dyDescent="0.2">
      <c r="A23" s="1"/>
      <c r="E23" s="6"/>
    </row>
    <row r="24" spans="1:5" x14ac:dyDescent="0.2">
      <c r="A24" s="1"/>
      <c r="E24" s="6"/>
    </row>
    <row r="25" spans="1:5" x14ac:dyDescent="0.2">
      <c r="A25" s="1"/>
      <c r="E25" s="6"/>
    </row>
    <row r="26" spans="1:5" x14ac:dyDescent="0.2">
      <c r="A26" s="1"/>
      <c r="E26" s="6"/>
    </row>
    <row r="27" spans="1:5" x14ac:dyDescent="0.2">
      <c r="A27" s="1"/>
      <c r="E27" s="6"/>
    </row>
    <row r="28" spans="1:5" x14ac:dyDescent="0.2">
      <c r="A28" s="1"/>
      <c r="E28" s="6"/>
    </row>
    <row r="29" spans="1:5" x14ac:dyDescent="0.2">
      <c r="A29" s="1"/>
      <c r="E29" s="6"/>
    </row>
    <row r="30" spans="1:5" x14ac:dyDescent="0.2">
      <c r="A30" s="1"/>
      <c r="E30" s="6"/>
    </row>
    <row r="31" spans="1:5" x14ac:dyDescent="0.2">
      <c r="A31" s="1"/>
      <c r="E31" s="6"/>
    </row>
    <row r="32" spans="1:5" x14ac:dyDescent="0.2">
      <c r="A32" s="1"/>
      <c r="E32" s="6"/>
    </row>
    <row r="33" spans="1:5" x14ac:dyDescent="0.2">
      <c r="A33" s="1"/>
      <c r="E33" s="6"/>
    </row>
    <row r="34" spans="1:5" x14ac:dyDescent="0.2">
      <c r="A34" s="1"/>
      <c r="E34" s="6"/>
    </row>
    <row r="35" spans="1:5" x14ac:dyDescent="0.2">
      <c r="A35" s="1"/>
      <c r="E35" s="6"/>
    </row>
    <row r="36" spans="1:5" x14ac:dyDescent="0.2">
      <c r="A36" s="1"/>
      <c r="E36" s="6"/>
    </row>
    <row r="37" spans="1:5" x14ac:dyDescent="0.2">
      <c r="A37" s="1"/>
      <c r="E37" s="6"/>
    </row>
    <row r="38" spans="1:5" x14ac:dyDescent="0.2">
      <c r="A38" s="1"/>
      <c r="E38" s="6"/>
    </row>
    <row r="39" spans="1:5" x14ac:dyDescent="0.2">
      <c r="A39" s="1"/>
      <c r="E39" s="6"/>
    </row>
    <row r="40" spans="1:5" x14ac:dyDescent="0.2">
      <c r="A40" s="1"/>
      <c r="E40" s="6"/>
    </row>
    <row r="41" spans="1:5" x14ac:dyDescent="0.2">
      <c r="A41" s="1"/>
      <c r="E41" s="6"/>
    </row>
    <row r="42" spans="1:5" x14ac:dyDescent="0.2">
      <c r="A42" s="1"/>
      <c r="E42" s="6"/>
    </row>
    <row r="43" spans="1:5" x14ac:dyDescent="0.2">
      <c r="A43" s="1"/>
      <c r="E43" s="6"/>
    </row>
    <row r="44" spans="1:5" x14ac:dyDescent="0.2">
      <c r="A44" s="1"/>
      <c r="E44" s="6"/>
    </row>
    <row r="45" spans="1:5" x14ac:dyDescent="0.2">
      <c r="A45" s="1"/>
      <c r="E45" s="6"/>
    </row>
    <row r="46" spans="1:5" x14ac:dyDescent="0.2">
      <c r="A46" s="1"/>
      <c r="E46" s="6"/>
    </row>
    <row r="47" spans="1:5" x14ac:dyDescent="0.2">
      <c r="A47" s="1"/>
      <c r="E47" s="6"/>
    </row>
    <row r="48" spans="1:5" x14ac:dyDescent="0.2">
      <c r="A48" s="1"/>
      <c r="E48" s="6"/>
    </row>
    <row r="49" spans="1:5" x14ac:dyDescent="0.2">
      <c r="A49" s="1"/>
      <c r="E49" s="6"/>
    </row>
    <row r="50" spans="1:5" x14ac:dyDescent="0.2">
      <c r="A50" s="1"/>
      <c r="E50" s="6"/>
    </row>
    <row r="51" spans="1:5" x14ac:dyDescent="0.2">
      <c r="A51" s="1"/>
      <c r="E51" s="6"/>
    </row>
    <row r="52" spans="1:5" x14ac:dyDescent="0.2">
      <c r="A52" s="1"/>
      <c r="E52" s="6"/>
    </row>
    <row r="53" spans="1:5" x14ac:dyDescent="0.2">
      <c r="A53" s="1"/>
      <c r="E53" s="6"/>
    </row>
    <row r="54" spans="1:5" x14ac:dyDescent="0.2">
      <c r="A54" s="1"/>
      <c r="E54" s="6"/>
    </row>
    <row r="55" spans="1:5" x14ac:dyDescent="0.2">
      <c r="A55" s="1"/>
      <c r="E55" s="6"/>
    </row>
    <row r="56" spans="1:5" x14ac:dyDescent="0.2">
      <c r="A56" s="1"/>
      <c r="E56" s="6"/>
    </row>
    <row r="57" spans="1:5" x14ac:dyDescent="0.2">
      <c r="A57" s="1"/>
      <c r="E57" s="6"/>
    </row>
    <row r="58" spans="1:5" x14ac:dyDescent="0.2">
      <c r="A58" s="1"/>
      <c r="E58" s="6"/>
    </row>
    <row r="59" spans="1:5" x14ac:dyDescent="0.2">
      <c r="A59" s="1"/>
      <c r="E59" s="6"/>
    </row>
    <row r="60" spans="1:5" x14ac:dyDescent="0.2">
      <c r="A60" s="1"/>
      <c r="E60" s="6"/>
    </row>
    <row r="61" spans="1:5" x14ac:dyDescent="0.2">
      <c r="A61" s="1"/>
      <c r="E61" s="6"/>
    </row>
    <row r="62" spans="1:5" x14ac:dyDescent="0.2">
      <c r="A62" s="1"/>
      <c r="E62" s="6"/>
    </row>
    <row r="63" spans="1:5" x14ac:dyDescent="0.2">
      <c r="A63" s="1"/>
      <c r="E63" s="6"/>
    </row>
    <row r="64" spans="1:5" x14ac:dyDescent="0.2">
      <c r="A64" s="1"/>
      <c r="E64" s="6"/>
    </row>
    <row r="65" spans="1:5" x14ac:dyDescent="0.2">
      <c r="A65" s="1"/>
      <c r="E65" s="6"/>
    </row>
    <row r="66" spans="1:5" x14ac:dyDescent="0.2">
      <c r="A66" s="1"/>
      <c r="E66" s="6"/>
    </row>
    <row r="67" spans="1:5" x14ac:dyDescent="0.2">
      <c r="A67" s="1"/>
      <c r="E67" s="6"/>
    </row>
    <row r="68" spans="1:5" x14ac:dyDescent="0.2">
      <c r="A68" s="1"/>
      <c r="E68" s="6"/>
    </row>
    <row r="69" spans="1:5" x14ac:dyDescent="0.2">
      <c r="A69" s="1"/>
      <c r="E69" s="6"/>
    </row>
    <row r="70" spans="1:5" x14ac:dyDescent="0.2">
      <c r="A70" s="1"/>
      <c r="E70" s="6"/>
    </row>
    <row r="71" spans="1:5" x14ac:dyDescent="0.2">
      <c r="A71" s="1"/>
      <c r="E71" s="6"/>
    </row>
    <row r="72" spans="1:5" x14ac:dyDescent="0.2">
      <c r="A72" s="1"/>
      <c r="E72" s="6"/>
    </row>
    <row r="73" spans="1:5" x14ac:dyDescent="0.2">
      <c r="A73" s="1"/>
      <c r="E73" s="6"/>
    </row>
    <row r="74" spans="1:5" x14ac:dyDescent="0.2">
      <c r="A74" s="1"/>
      <c r="E74" s="6"/>
    </row>
    <row r="75" spans="1:5" x14ac:dyDescent="0.2">
      <c r="A75" s="1"/>
      <c r="E75" s="6"/>
    </row>
    <row r="76" spans="1:5" x14ac:dyDescent="0.2">
      <c r="A76" s="1"/>
      <c r="E76" s="6"/>
    </row>
    <row r="77" spans="1:5" x14ac:dyDescent="0.2">
      <c r="A77" s="1"/>
      <c r="E77" s="6"/>
    </row>
    <row r="78" spans="1:5" x14ac:dyDescent="0.2">
      <c r="A78" s="1"/>
      <c r="E78" s="6"/>
    </row>
    <row r="79" spans="1:5" x14ac:dyDescent="0.2">
      <c r="A79" s="1"/>
      <c r="E79" s="6"/>
    </row>
    <row r="80" spans="1:5" x14ac:dyDescent="0.2">
      <c r="A80" s="1"/>
      <c r="E80" s="6"/>
    </row>
    <row r="81" spans="1:5" x14ac:dyDescent="0.2">
      <c r="A81" s="1"/>
      <c r="E81" s="6"/>
    </row>
    <row r="82" spans="1:5" x14ac:dyDescent="0.2">
      <c r="A82" s="1"/>
      <c r="E82" s="6"/>
    </row>
    <row r="83" spans="1:5" x14ac:dyDescent="0.2">
      <c r="A83" s="1"/>
      <c r="E83" s="6"/>
    </row>
    <row r="84" spans="1:5" x14ac:dyDescent="0.2">
      <c r="A84" s="1"/>
      <c r="E84" s="6"/>
    </row>
    <row r="85" spans="1:5" x14ac:dyDescent="0.2">
      <c r="A85" s="1"/>
      <c r="E85" s="6"/>
    </row>
    <row r="86" spans="1:5" x14ac:dyDescent="0.2">
      <c r="A86" s="1"/>
      <c r="E86" s="6"/>
    </row>
    <row r="87" spans="1:5" x14ac:dyDescent="0.2">
      <c r="A87" s="1"/>
      <c r="E87" s="6"/>
    </row>
    <row r="88" spans="1:5" x14ac:dyDescent="0.2">
      <c r="A88" s="1"/>
      <c r="E88" s="6"/>
    </row>
    <row r="89" spans="1:5" x14ac:dyDescent="0.2">
      <c r="A89" s="1"/>
      <c r="E89" s="6"/>
    </row>
    <row r="90" spans="1:5" x14ac:dyDescent="0.2">
      <c r="A90" s="1"/>
      <c r="E90" s="6"/>
    </row>
    <row r="91" spans="1:5" x14ac:dyDescent="0.2">
      <c r="A91" s="1"/>
      <c r="E91" s="6"/>
    </row>
    <row r="92" spans="1:5" x14ac:dyDescent="0.2">
      <c r="A92" s="1"/>
      <c r="E92" s="6"/>
    </row>
    <row r="93" spans="1:5" x14ac:dyDescent="0.2">
      <c r="A93" s="1"/>
      <c r="E93" s="6"/>
    </row>
    <row r="94" spans="1:5" x14ac:dyDescent="0.2">
      <c r="A94" s="1"/>
      <c r="E94" s="6"/>
    </row>
    <row r="95" spans="1:5" x14ac:dyDescent="0.2">
      <c r="A95" s="1"/>
      <c r="E95" s="6"/>
    </row>
    <row r="96" spans="1:5" x14ac:dyDescent="0.2">
      <c r="A96" s="1"/>
      <c r="E96" s="6"/>
    </row>
    <row r="97" spans="1:5" x14ac:dyDescent="0.2">
      <c r="A97" s="1"/>
      <c r="E97" s="6"/>
    </row>
    <row r="98" spans="1:5" x14ac:dyDescent="0.2">
      <c r="A98" s="1"/>
      <c r="E98" s="6"/>
    </row>
    <row r="99" spans="1:5" x14ac:dyDescent="0.2">
      <c r="A99" s="1"/>
      <c r="E99" s="6"/>
    </row>
    <row r="100" spans="1:5" x14ac:dyDescent="0.2">
      <c r="A100" s="1"/>
      <c r="E100" s="6"/>
    </row>
    <row r="101" spans="1:5" x14ac:dyDescent="0.2">
      <c r="A101" s="1"/>
      <c r="E101" s="6"/>
    </row>
    <row r="102" spans="1:5" x14ac:dyDescent="0.2">
      <c r="A102" s="1"/>
      <c r="E102" s="6"/>
    </row>
    <row r="103" spans="1:5" x14ac:dyDescent="0.2">
      <c r="A103" s="1"/>
      <c r="E103" s="6"/>
    </row>
    <row r="104" spans="1:5" x14ac:dyDescent="0.2">
      <c r="A104" s="1"/>
      <c r="E104" s="6"/>
    </row>
    <row r="105" spans="1:5" x14ac:dyDescent="0.2">
      <c r="A105" s="1"/>
      <c r="E105" s="6"/>
    </row>
    <row r="106" spans="1:5" x14ac:dyDescent="0.2">
      <c r="A106" s="1"/>
      <c r="E106" s="6"/>
    </row>
    <row r="107" spans="1:5" x14ac:dyDescent="0.2">
      <c r="A107" s="1"/>
      <c r="E107" s="6"/>
    </row>
    <row r="108" spans="1:5" x14ac:dyDescent="0.2">
      <c r="A108" s="1"/>
      <c r="E108" s="6"/>
    </row>
    <row r="109" spans="1:5" x14ac:dyDescent="0.2">
      <c r="A109" s="1"/>
      <c r="E109" s="6"/>
    </row>
    <row r="110" spans="1:5" x14ac:dyDescent="0.2">
      <c r="A110" s="1"/>
      <c r="E110" s="6"/>
    </row>
    <row r="111" spans="1:5" x14ac:dyDescent="0.2">
      <c r="A111" s="1"/>
      <c r="E111" s="6"/>
    </row>
    <row r="112" spans="1:5" x14ac:dyDescent="0.2">
      <c r="A112" s="1"/>
      <c r="E112" s="6"/>
    </row>
    <row r="113" spans="1:5" x14ac:dyDescent="0.2">
      <c r="A113" s="1"/>
      <c r="E113" s="6"/>
    </row>
    <row r="114" spans="1:5" x14ac:dyDescent="0.2">
      <c r="A114" s="1"/>
      <c r="E114" s="6"/>
    </row>
    <row r="115" spans="1:5" x14ac:dyDescent="0.2">
      <c r="A115" s="1"/>
      <c r="E115" s="6"/>
    </row>
    <row r="116" spans="1:5" x14ac:dyDescent="0.2">
      <c r="A116" s="1"/>
      <c r="E116" s="6"/>
    </row>
    <row r="117" spans="1:5" x14ac:dyDescent="0.2">
      <c r="A117" s="1"/>
      <c r="E117" s="6"/>
    </row>
    <row r="118" spans="1:5" x14ac:dyDescent="0.2">
      <c r="A118" s="1"/>
      <c r="E118" s="6"/>
    </row>
    <row r="119" spans="1:5" x14ac:dyDescent="0.2">
      <c r="A119" s="1"/>
      <c r="E119" s="6"/>
    </row>
    <row r="120" spans="1:5" x14ac:dyDescent="0.2">
      <c r="A120" s="1"/>
      <c r="E120" s="6"/>
    </row>
    <row r="121" spans="1:5" x14ac:dyDescent="0.2">
      <c r="A121" s="1"/>
      <c r="E121" s="6"/>
    </row>
    <row r="122" spans="1:5" x14ac:dyDescent="0.2">
      <c r="A122" s="1"/>
      <c r="E122" s="6"/>
    </row>
    <row r="123" spans="1:5" x14ac:dyDescent="0.2">
      <c r="A123" s="1"/>
      <c r="E123" s="6"/>
    </row>
    <row r="124" spans="1:5" x14ac:dyDescent="0.2">
      <c r="A124" s="1"/>
      <c r="E124" s="6"/>
    </row>
    <row r="125" spans="1:5" x14ac:dyDescent="0.2">
      <c r="A125" s="1"/>
      <c r="E125" s="6"/>
    </row>
    <row r="126" spans="1:5" x14ac:dyDescent="0.2">
      <c r="A126" s="1"/>
      <c r="E126" s="6"/>
    </row>
    <row r="127" spans="1:5" x14ac:dyDescent="0.2">
      <c r="A127" s="1"/>
      <c r="E127" s="6"/>
    </row>
    <row r="128" spans="1:5" x14ac:dyDescent="0.2">
      <c r="A128" s="1"/>
      <c r="E128" s="6"/>
    </row>
    <row r="129" spans="1:5" x14ac:dyDescent="0.2">
      <c r="A129" s="1"/>
      <c r="E129" s="6"/>
    </row>
    <row r="130" spans="1:5" x14ac:dyDescent="0.2">
      <c r="A130" s="1"/>
      <c r="E130" s="6"/>
    </row>
    <row r="131" spans="1:5" x14ac:dyDescent="0.2">
      <c r="A131" s="1"/>
      <c r="E131" s="6"/>
    </row>
    <row r="132" spans="1:5" x14ac:dyDescent="0.2">
      <c r="A132" s="1"/>
      <c r="E132" s="6"/>
    </row>
    <row r="133" spans="1:5" x14ac:dyDescent="0.2">
      <c r="A133" s="1"/>
      <c r="E133" s="6"/>
    </row>
    <row r="134" spans="1:5" x14ac:dyDescent="0.2">
      <c r="A134" s="1"/>
      <c r="E134" s="6"/>
    </row>
    <row r="135" spans="1:5" x14ac:dyDescent="0.2">
      <c r="A135" s="1"/>
      <c r="E135" s="6"/>
    </row>
    <row r="136" spans="1:5" x14ac:dyDescent="0.2">
      <c r="A136" s="1"/>
      <c r="E136" s="6"/>
    </row>
    <row r="137" spans="1:5" x14ac:dyDescent="0.2">
      <c r="A137" s="1"/>
      <c r="E137" s="6"/>
    </row>
    <row r="138" spans="1:5" x14ac:dyDescent="0.2">
      <c r="A138" s="1"/>
      <c r="E138" s="6"/>
    </row>
    <row r="139" spans="1:5" x14ac:dyDescent="0.2">
      <c r="A139" s="1"/>
      <c r="E139" s="6"/>
    </row>
    <row r="140" spans="1:5" x14ac:dyDescent="0.2">
      <c r="A140" s="1"/>
      <c r="E140" s="6"/>
    </row>
    <row r="141" spans="1:5" x14ac:dyDescent="0.2">
      <c r="A141" s="1"/>
      <c r="E141" s="6"/>
    </row>
    <row r="142" spans="1:5" x14ac:dyDescent="0.2">
      <c r="A142" s="1"/>
      <c r="E142" s="6"/>
    </row>
    <row r="143" spans="1:5" x14ac:dyDescent="0.2">
      <c r="A143" s="1"/>
      <c r="E143" s="6"/>
    </row>
    <row r="144" spans="1:5" x14ac:dyDescent="0.2">
      <c r="A144" s="1"/>
      <c r="E144" s="6"/>
    </row>
    <row r="145" spans="1:5" x14ac:dyDescent="0.2">
      <c r="A145" s="1"/>
      <c r="E145" s="6"/>
    </row>
    <row r="146" spans="1:5" x14ac:dyDescent="0.2">
      <c r="A146" s="1"/>
      <c r="E146" s="6"/>
    </row>
    <row r="147" spans="1:5" x14ac:dyDescent="0.2">
      <c r="A147" s="1"/>
      <c r="E147" s="6"/>
    </row>
    <row r="148" spans="1:5" x14ac:dyDescent="0.2">
      <c r="A148" s="1"/>
      <c r="E148" s="6"/>
    </row>
    <row r="149" spans="1:5" x14ac:dyDescent="0.2">
      <c r="A149" s="1"/>
      <c r="E149" s="6"/>
    </row>
    <row r="150" spans="1:5" x14ac:dyDescent="0.2">
      <c r="A150" s="1"/>
      <c r="E150" s="6"/>
    </row>
    <row r="151" spans="1:5" x14ac:dyDescent="0.2">
      <c r="A151" s="1"/>
      <c r="E151" s="6"/>
    </row>
    <row r="152" spans="1:5" x14ac:dyDescent="0.2">
      <c r="A152" s="1"/>
      <c r="E152" s="6"/>
    </row>
    <row r="153" spans="1:5" x14ac:dyDescent="0.2">
      <c r="A153" s="1"/>
      <c r="E153" s="6"/>
    </row>
    <row r="154" spans="1:5" x14ac:dyDescent="0.2">
      <c r="A154" s="1"/>
      <c r="E154" s="6"/>
    </row>
    <row r="155" spans="1:5" x14ac:dyDescent="0.2">
      <c r="A155" s="1"/>
      <c r="E155" s="6"/>
    </row>
    <row r="156" spans="1:5" x14ac:dyDescent="0.2">
      <c r="A156" s="1"/>
      <c r="E156" s="6"/>
    </row>
    <row r="157" spans="1:5" x14ac:dyDescent="0.2">
      <c r="A157" s="1"/>
      <c r="E157" s="6"/>
    </row>
    <row r="158" spans="1:5" x14ac:dyDescent="0.2">
      <c r="A158" s="1"/>
      <c r="E158" s="6"/>
    </row>
    <row r="159" spans="1:5" x14ac:dyDescent="0.2">
      <c r="A159" s="1"/>
      <c r="E159" s="6"/>
    </row>
    <row r="160" spans="1:5" x14ac:dyDescent="0.2">
      <c r="A160" s="1"/>
      <c r="E160" s="6"/>
    </row>
    <row r="161" spans="1:5" x14ac:dyDescent="0.2">
      <c r="A161" s="1"/>
      <c r="E161" s="6"/>
    </row>
    <row r="162" spans="1:5" x14ac:dyDescent="0.2">
      <c r="A162" s="1"/>
      <c r="E162" s="6"/>
    </row>
    <row r="163" spans="1:5" x14ac:dyDescent="0.2">
      <c r="A163" s="1"/>
      <c r="E163" s="6"/>
    </row>
    <row r="164" spans="1:5" x14ac:dyDescent="0.2">
      <c r="A164" s="1"/>
      <c r="E164" s="6"/>
    </row>
    <row r="165" spans="1:5" x14ac:dyDescent="0.2">
      <c r="A165" s="1"/>
      <c r="E165" s="6"/>
    </row>
    <row r="166" spans="1:5" x14ac:dyDescent="0.2">
      <c r="A166" s="1"/>
      <c r="E166" s="6"/>
    </row>
    <row r="167" spans="1:5" x14ac:dyDescent="0.2">
      <c r="A167" s="1"/>
      <c r="E167" s="6"/>
    </row>
    <row r="168" spans="1:5" x14ac:dyDescent="0.2">
      <c r="A168" s="1"/>
      <c r="E168" s="6"/>
    </row>
    <row r="169" spans="1:5" x14ac:dyDescent="0.2">
      <c r="A169" s="1"/>
      <c r="E169" s="6"/>
    </row>
    <row r="170" spans="1:5" x14ac:dyDescent="0.2">
      <c r="A170" s="1"/>
      <c r="E170" s="6"/>
    </row>
    <row r="171" spans="1:5" x14ac:dyDescent="0.2">
      <c r="A171" s="1"/>
      <c r="E171" s="6"/>
    </row>
    <row r="172" spans="1:5" x14ac:dyDescent="0.2">
      <c r="A172" s="1"/>
      <c r="E172" s="6"/>
    </row>
    <row r="173" spans="1:5" x14ac:dyDescent="0.2">
      <c r="A173" s="1"/>
      <c r="E173" s="6"/>
    </row>
    <row r="174" spans="1:5" x14ac:dyDescent="0.2">
      <c r="A174" s="1"/>
      <c r="E174" s="6"/>
    </row>
    <row r="175" spans="1:5" x14ac:dyDescent="0.2">
      <c r="A175" s="1"/>
      <c r="E175" s="6"/>
    </row>
    <row r="176" spans="1:5" x14ac:dyDescent="0.2">
      <c r="A176" s="1"/>
      <c r="E176" s="6"/>
    </row>
    <row r="177" spans="1:5" x14ac:dyDescent="0.2">
      <c r="A177" s="1"/>
      <c r="E177" s="6"/>
    </row>
    <row r="178" spans="1:5" x14ac:dyDescent="0.2">
      <c r="A178" s="1"/>
      <c r="E178" s="6"/>
    </row>
    <row r="179" spans="1:5" x14ac:dyDescent="0.2">
      <c r="A179" s="1"/>
      <c r="E179" s="6"/>
    </row>
    <row r="180" spans="1:5" x14ac:dyDescent="0.2">
      <c r="A180" s="1"/>
      <c r="E180" s="6"/>
    </row>
    <row r="181" spans="1:5" x14ac:dyDescent="0.2">
      <c r="A181" s="1"/>
      <c r="E181" s="6"/>
    </row>
    <row r="182" spans="1:5" x14ac:dyDescent="0.2">
      <c r="A182" s="1"/>
      <c r="E182" s="6"/>
    </row>
    <row r="183" spans="1:5" x14ac:dyDescent="0.2">
      <c r="A183" s="1"/>
      <c r="E183" s="6"/>
    </row>
    <row r="184" spans="1:5" x14ac:dyDescent="0.2">
      <c r="A184" s="1"/>
      <c r="E184" s="6"/>
    </row>
    <row r="185" spans="1:5" x14ac:dyDescent="0.2">
      <c r="A185" s="1"/>
      <c r="E185" s="6"/>
    </row>
    <row r="186" spans="1:5" x14ac:dyDescent="0.2">
      <c r="A186" s="1"/>
      <c r="E186" s="6"/>
    </row>
    <row r="187" spans="1:5" x14ac:dyDescent="0.2">
      <c r="A187" s="1"/>
      <c r="E187" s="6"/>
    </row>
    <row r="188" spans="1:5" x14ac:dyDescent="0.2">
      <c r="A188" s="1"/>
      <c r="E188" s="6"/>
    </row>
    <row r="189" spans="1:5" x14ac:dyDescent="0.2">
      <c r="A189" s="1"/>
      <c r="E189" s="6"/>
    </row>
    <row r="190" spans="1:5" x14ac:dyDescent="0.2">
      <c r="A190" s="1"/>
      <c r="E190" s="6"/>
    </row>
    <row r="191" spans="1:5" x14ac:dyDescent="0.2">
      <c r="A191" s="1"/>
      <c r="E191" s="6"/>
    </row>
    <row r="192" spans="1:5" x14ac:dyDescent="0.2">
      <c r="A192" s="1"/>
      <c r="E192" s="6"/>
    </row>
    <row r="193" spans="1:5" x14ac:dyDescent="0.2">
      <c r="A193" s="1"/>
      <c r="E193" s="6"/>
    </row>
    <row r="194" spans="1:5" x14ac:dyDescent="0.2">
      <c r="A194" s="1"/>
      <c r="E194" s="6"/>
    </row>
    <row r="195" spans="1:5" x14ac:dyDescent="0.2">
      <c r="A195" s="1"/>
      <c r="E195" s="6"/>
    </row>
    <row r="196" spans="1:5" x14ac:dyDescent="0.2">
      <c r="A196" s="1"/>
      <c r="E196" s="6"/>
    </row>
    <row r="197" spans="1:5" x14ac:dyDescent="0.2">
      <c r="A197" s="1"/>
      <c r="E197" s="6"/>
    </row>
    <row r="198" spans="1:5" x14ac:dyDescent="0.2">
      <c r="A198" s="1"/>
      <c r="E198" s="6"/>
    </row>
    <row r="199" spans="1:5" x14ac:dyDescent="0.2">
      <c r="A199" s="1"/>
      <c r="E199" s="6"/>
    </row>
    <row r="200" spans="1:5" x14ac:dyDescent="0.2">
      <c r="A200" s="1"/>
      <c r="E200" s="6"/>
    </row>
    <row r="201" spans="1:5" x14ac:dyDescent="0.2">
      <c r="A201" s="1"/>
      <c r="E201" s="6"/>
    </row>
    <row r="202" spans="1:5" x14ac:dyDescent="0.2">
      <c r="A202" s="1"/>
      <c r="E202" s="6"/>
    </row>
    <row r="203" spans="1:5" x14ac:dyDescent="0.2">
      <c r="A203" s="1"/>
      <c r="E203" s="6"/>
    </row>
    <row r="204" spans="1:5" x14ac:dyDescent="0.2">
      <c r="A204" s="1"/>
      <c r="E204" s="6"/>
    </row>
    <row r="205" spans="1:5" x14ac:dyDescent="0.2">
      <c r="A205" s="1"/>
      <c r="E205" s="6"/>
    </row>
    <row r="206" spans="1:5" x14ac:dyDescent="0.2">
      <c r="A206" s="1"/>
      <c r="E206" s="6"/>
    </row>
    <row r="207" spans="1:5" x14ac:dyDescent="0.2">
      <c r="A207" s="1"/>
      <c r="E207" s="6"/>
    </row>
    <row r="208" spans="1:5" x14ac:dyDescent="0.2">
      <c r="A208" s="1"/>
      <c r="E208" s="6"/>
    </row>
    <row r="209" spans="1:5" x14ac:dyDescent="0.2">
      <c r="A209" s="1"/>
      <c r="E209" s="6"/>
    </row>
    <row r="210" spans="1:5" x14ac:dyDescent="0.2">
      <c r="A210" s="1"/>
      <c r="E210" s="6"/>
    </row>
    <row r="211" spans="1:5" x14ac:dyDescent="0.2">
      <c r="A211" s="1"/>
      <c r="E211" s="6"/>
    </row>
    <row r="212" spans="1:5" x14ac:dyDescent="0.2">
      <c r="A212" s="1"/>
      <c r="E212" s="6"/>
    </row>
    <row r="213" spans="1:5" x14ac:dyDescent="0.2">
      <c r="A213" s="1"/>
      <c r="E213" s="6"/>
    </row>
    <row r="214" spans="1:5" x14ac:dyDescent="0.2">
      <c r="A214" s="1"/>
      <c r="E214" s="6"/>
    </row>
    <row r="215" spans="1:5" x14ac:dyDescent="0.2">
      <c r="A215" s="1"/>
      <c r="E215" s="6"/>
    </row>
    <row r="216" spans="1:5" x14ac:dyDescent="0.2">
      <c r="A216" s="1"/>
      <c r="E216" s="6"/>
    </row>
    <row r="217" spans="1:5" x14ac:dyDescent="0.2">
      <c r="A217" s="1"/>
      <c r="E217" s="6"/>
    </row>
    <row r="218" spans="1:5" x14ac:dyDescent="0.2">
      <c r="A218" s="1"/>
      <c r="E218" s="6"/>
    </row>
    <row r="219" spans="1:5" x14ac:dyDescent="0.2">
      <c r="A219" s="1"/>
      <c r="E219" s="6"/>
    </row>
    <row r="220" spans="1:5" x14ac:dyDescent="0.2">
      <c r="A220" s="1"/>
      <c r="E220" s="6"/>
    </row>
    <row r="221" spans="1:5" x14ac:dyDescent="0.2">
      <c r="A221" s="1"/>
      <c r="E221" s="6"/>
    </row>
    <row r="222" spans="1:5" x14ac:dyDescent="0.2">
      <c r="A222" s="1"/>
      <c r="E222" s="6"/>
    </row>
    <row r="223" spans="1:5" x14ac:dyDescent="0.2">
      <c r="A223" s="1"/>
      <c r="E223" s="6"/>
    </row>
    <row r="224" spans="1:5" x14ac:dyDescent="0.2">
      <c r="A224" s="1"/>
      <c r="E224" s="6"/>
    </row>
    <row r="225" spans="1:5" x14ac:dyDescent="0.2">
      <c r="A225" s="1"/>
      <c r="E225" s="6"/>
    </row>
    <row r="226" spans="1:5" x14ac:dyDescent="0.2">
      <c r="A226" s="1"/>
      <c r="E226" s="6"/>
    </row>
    <row r="227" spans="1:5" x14ac:dyDescent="0.2">
      <c r="A227" s="1"/>
      <c r="E227" s="6"/>
    </row>
    <row r="228" spans="1:5" x14ac:dyDescent="0.2">
      <c r="A228" s="1"/>
      <c r="E228" s="6"/>
    </row>
    <row r="229" spans="1:5" x14ac:dyDescent="0.2">
      <c r="A229" s="1"/>
      <c r="E229" s="6"/>
    </row>
    <row r="230" spans="1:5" x14ac:dyDescent="0.2">
      <c r="A230" s="1"/>
      <c r="E230" s="6"/>
    </row>
    <row r="231" spans="1:5" x14ac:dyDescent="0.2">
      <c r="A231" s="1"/>
      <c r="E231" s="6"/>
    </row>
    <row r="232" spans="1:5" x14ac:dyDescent="0.2">
      <c r="A232" s="1"/>
      <c r="E232" s="6"/>
    </row>
    <row r="233" spans="1:5" x14ac:dyDescent="0.2">
      <c r="A233" s="1"/>
      <c r="E233" s="6"/>
    </row>
    <row r="234" spans="1:5" x14ac:dyDescent="0.2">
      <c r="A234" s="1"/>
      <c r="E234" s="6"/>
    </row>
    <row r="235" spans="1:5" x14ac:dyDescent="0.2">
      <c r="A235" s="1"/>
      <c r="E235" s="6"/>
    </row>
    <row r="236" spans="1:5" x14ac:dyDescent="0.2">
      <c r="A236" s="1"/>
      <c r="E236" s="6"/>
    </row>
    <row r="237" spans="1:5" x14ac:dyDescent="0.2">
      <c r="A237" s="1"/>
      <c r="E237" s="6"/>
    </row>
    <row r="238" spans="1:5" x14ac:dyDescent="0.2">
      <c r="A238" s="1"/>
      <c r="E238" s="6"/>
    </row>
    <row r="239" spans="1:5" x14ac:dyDescent="0.2">
      <c r="A239" s="1"/>
      <c r="E239" s="6"/>
    </row>
    <row r="240" spans="1:5" x14ac:dyDescent="0.2">
      <c r="A240" s="1"/>
      <c r="E240" s="6"/>
    </row>
    <row r="241" spans="1:5" x14ac:dyDescent="0.2">
      <c r="A241" s="1"/>
      <c r="E241" s="6"/>
    </row>
    <row r="242" spans="1:5" x14ac:dyDescent="0.2">
      <c r="A242" s="1"/>
      <c r="E242" s="6"/>
    </row>
  </sheetData>
  <conditionalFormatting sqref="C2:C1048576">
    <cfRule type="cellIs" dxfId="7" priority="1" operator="lessThan">
      <formula>80</formula>
    </cfRule>
    <cfRule type="cellIs" dxfId="6" priority="2" operator="greaterThanOrEqual">
      <formula>80</formula>
    </cfRule>
  </conditionalFormatting>
  <conditionalFormatting sqref="F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{D59CE13C-C1ED-C040-BCAF-D6571342C8CE}</x14:id>
        </ext>
      </extLst>
    </cfRule>
  </conditionalFormatting>
  <pageMargins left="0.7" right="0.7" top="0.75" bottom="0.75" header="0.3" footer="0.3"/>
  <ignoredErrors>
    <ignoredError sqref="D2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9CE13C-C1ED-C040-BCAF-D6571342C8C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4A34-41F4-0F4A-9E63-77B0E9FFD885}">
  <dimension ref="A3:D16"/>
  <sheetViews>
    <sheetView workbookViewId="0">
      <selection activeCell="B16" sqref="B16"/>
    </sheetView>
  </sheetViews>
  <sheetFormatPr baseColWidth="10" defaultColWidth="10.83203125" defaultRowHeight="16" x14ac:dyDescent="0.2"/>
  <cols>
    <col min="1" max="1" width="13" bestFit="1" customWidth="1"/>
    <col min="2" max="2" width="19.83203125" style="5" bestFit="1" customWidth="1"/>
    <col min="3" max="3" width="14.33203125" style="5" bestFit="1" customWidth="1"/>
    <col min="4" max="4" width="17.6640625" style="5" bestFit="1" customWidth="1"/>
  </cols>
  <sheetData>
    <row r="3" spans="1:4" x14ac:dyDescent="0.2">
      <c r="A3" s="17" t="s">
        <v>24</v>
      </c>
      <c r="B3" s="5" t="s">
        <v>26</v>
      </c>
      <c r="C3" s="5" t="s">
        <v>35</v>
      </c>
      <c r="D3" s="5" t="s">
        <v>36</v>
      </c>
    </row>
    <row r="4" spans="1:4" x14ac:dyDescent="0.2">
      <c r="A4" s="18">
        <v>46218</v>
      </c>
      <c r="B4" s="23">
        <v>-1163</v>
      </c>
      <c r="C4" s="23">
        <v>923</v>
      </c>
      <c r="D4" s="23">
        <v>72.2</v>
      </c>
    </row>
    <row r="5" spans="1:4" x14ac:dyDescent="0.2">
      <c r="A5" s="18">
        <v>46219</v>
      </c>
      <c r="B5" s="23">
        <v>-656</v>
      </c>
      <c r="C5" s="23">
        <v>990</v>
      </c>
      <c r="D5" s="23">
        <v>79</v>
      </c>
    </row>
    <row r="6" spans="1:4" x14ac:dyDescent="0.2">
      <c r="A6" s="18">
        <v>46220</v>
      </c>
      <c r="B6" s="23">
        <v>-965</v>
      </c>
      <c r="C6" s="23">
        <v>905</v>
      </c>
      <c r="D6" s="23">
        <v>72.599999999999994</v>
      </c>
    </row>
    <row r="7" spans="1:4" x14ac:dyDescent="0.2">
      <c r="A7" s="18">
        <v>46221</v>
      </c>
      <c r="B7" s="23">
        <v>-943</v>
      </c>
      <c r="C7" s="23">
        <v>702</v>
      </c>
      <c r="D7" s="23">
        <v>52.6</v>
      </c>
    </row>
    <row r="8" spans="1:4" x14ac:dyDescent="0.2">
      <c r="A8" s="18">
        <v>46222</v>
      </c>
      <c r="B8" s="23">
        <v>-775</v>
      </c>
      <c r="C8" s="23">
        <v>1005</v>
      </c>
      <c r="D8" s="23">
        <v>87.5</v>
      </c>
    </row>
    <row r="9" spans="1:4" x14ac:dyDescent="0.2">
      <c r="A9" s="19" t="s">
        <v>27</v>
      </c>
      <c r="B9" s="23"/>
      <c r="C9" s="23"/>
      <c r="D9" s="23"/>
    </row>
    <row r="10" spans="1:4" x14ac:dyDescent="0.2">
      <c r="A10" s="18">
        <v>46223</v>
      </c>
      <c r="B10" s="23">
        <v>-982.4</v>
      </c>
      <c r="C10" s="23">
        <v>724.6</v>
      </c>
      <c r="D10" s="23">
        <v>80</v>
      </c>
    </row>
    <row r="11" spans="1:4" x14ac:dyDescent="0.2">
      <c r="A11" s="18">
        <v>46224</v>
      </c>
      <c r="B11" s="23">
        <v>-755</v>
      </c>
      <c r="C11" s="23">
        <v>915</v>
      </c>
      <c r="D11" s="23">
        <v>116.5</v>
      </c>
    </row>
    <row r="12" spans="1:4" x14ac:dyDescent="0.2">
      <c r="A12" s="18">
        <v>46225</v>
      </c>
      <c r="B12" s="23">
        <v>-1270</v>
      </c>
      <c r="C12" s="23">
        <v>700</v>
      </c>
      <c r="D12" s="23">
        <v>87.5</v>
      </c>
    </row>
    <row r="13" spans="1:4" x14ac:dyDescent="0.2">
      <c r="A13" s="18">
        <v>46226</v>
      </c>
      <c r="B13" s="23">
        <v>-458</v>
      </c>
      <c r="C13" s="23">
        <v>1222</v>
      </c>
      <c r="D13" s="23">
        <v>96.3</v>
      </c>
    </row>
    <row r="14" spans="1:4" x14ac:dyDescent="0.2">
      <c r="A14" s="18">
        <v>46227</v>
      </c>
      <c r="B14" s="23">
        <v>-915.2</v>
      </c>
      <c r="C14" s="23">
        <v>954.8</v>
      </c>
      <c r="D14" s="23">
        <v>99.12</v>
      </c>
    </row>
    <row r="15" spans="1:4" x14ac:dyDescent="0.2">
      <c r="A15" s="18">
        <v>46228</v>
      </c>
      <c r="B15" s="23">
        <v>-1340</v>
      </c>
      <c r="C15" s="23">
        <v>580</v>
      </c>
      <c r="D15" s="23">
        <v>61.92</v>
      </c>
    </row>
    <row r="16" spans="1:4" x14ac:dyDescent="0.2">
      <c r="A16" s="19" t="s">
        <v>25</v>
      </c>
      <c r="B16" s="23">
        <v>-10222.6</v>
      </c>
      <c r="C16" s="23">
        <v>9621.4</v>
      </c>
      <c r="D16" s="23">
        <v>905.2399999999999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 Log</vt:lpstr>
      <vt:lpstr>Exercise</vt:lpstr>
      <vt:lpstr>Food Database</vt:lpstr>
      <vt:lpstr>Dashboard</vt:lpstr>
      <vt:lpstr>DB 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 Denizoglu</dc:creator>
  <cp:lastModifiedBy>Selvi Denizoglu</cp:lastModifiedBy>
  <dcterms:created xsi:type="dcterms:W3CDTF">2026-07-19T16:04:56Z</dcterms:created>
  <dcterms:modified xsi:type="dcterms:W3CDTF">2026-07-26T13:22:50Z</dcterms:modified>
</cp:coreProperties>
</file>